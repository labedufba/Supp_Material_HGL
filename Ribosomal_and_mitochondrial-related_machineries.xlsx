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t-Ribosomal" sheetId="1" r:id="rId5"/>
    <sheet state="visible" name="nuclear genes involved in mt" sheetId="2" r:id="rId6"/>
    <sheet state="visible" name="key mt metabolic pathways" sheetId="3" r:id="rId7"/>
  </sheets>
  <definedNames/>
  <calcPr/>
</workbook>
</file>

<file path=xl/sharedStrings.xml><?xml version="1.0" encoding="utf-8"?>
<sst xmlns="http://schemas.openxmlformats.org/spreadsheetml/2006/main" count="4633" uniqueCount="1885">
  <si>
    <r>
      <rPr>
        <rFont val="Arial"/>
        <b/>
        <color theme="1"/>
      </rPr>
      <t xml:space="preserve">Mt-Ribosomal genes in </t>
    </r>
    <r>
      <rPr>
        <rFont val="Arial"/>
        <b/>
        <i/>
        <color theme="1"/>
      </rPr>
      <t>H. glomerosa</t>
    </r>
    <r>
      <rPr>
        <rFont val="Arial"/>
        <b/>
        <color theme="1"/>
      </rPr>
      <t xml:space="preserve"> nuclear genome.</t>
    </r>
  </si>
  <si>
    <t>data from:</t>
  </si>
  <si>
    <t>https://flybase.org/reports/FBgg0000059.html</t>
  </si>
  <si>
    <t>"Mitochondrial ribosomes are found in the mitochondrial matrix and translate genes involved in oxidative phosphorylation encoded by the mitochondrial genome."</t>
  </si>
  <si>
    <t>based on appendix of: https://www.pnas.org/doi/10.1073/pnas.1909907117</t>
  </si>
  <si>
    <t>MITOCHONDRIAL SMALL RIBOSOMAL SUBUNIT (31)</t>
  </si>
  <si>
    <t>bonsai (mRpS15)</t>
  </si>
  <si>
    <t>CG5882</t>
  </si>
  <si>
    <t>CG12848</t>
  </si>
  <si>
    <t>mRpS2</t>
  </si>
  <si>
    <t>evm.model.ptg000005l_1.956</t>
  </si>
  <si>
    <t>45351.EDO30794</t>
  </si>
  <si>
    <t>5.7e-59</t>
  </si>
  <si>
    <t>193.0</t>
  </si>
  <si>
    <t>COG0052@1|root,KOG0832@2759|Eukaryota,38BFI@33154|Opisthokonta,3BB5F@33208|Metazoa</t>
  </si>
  <si>
    <t>33208|Metazoa</t>
  </si>
  <si>
    <t>J</t>
  </si>
  <si>
    <t>mitochondrial translation</t>
  </si>
  <si>
    <t>MRPS2</t>
  </si>
  <si>
    <t>GO:0000313,GO:0000314,GO:0003674,GO:0003735,GO:0005198,GO:0005575,GO:0005622,GO:0005623,GO:0005737,GO:0005739,GO:0005740,GO:0005743,GO:0005759,GO:0005761,GO:0005763,GO:0005840,GO:0006412,GO:0006414,GO:0006415,GO:0006518,GO:0006807,GO:0008150,GO:0008152,GO:0009058,GO:0009059,GO:0009987,GO:0010467,GO:0015935,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</si>
  <si>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t>
  </si>
  <si>
    <t>ko:K02967</t>
  </si>
  <si>
    <t>ko03010,map03010</t>
  </si>
  <si>
    <t>M00178,M00179</t>
  </si>
  <si>
    <t>br01610,ko00000,ko00001,ko00002,ko03011</t>
  </si>
  <si>
    <t>Ribosomal_S2</t>
  </si>
  <si>
    <t>mRpS5 (l8, l(3)Lh8, l(3)80Fa)</t>
  </si>
  <si>
    <t>mRpS6</t>
  </si>
  <si>
    <t>mRpS7</t>
  </si>
  <si>
    <t>evm.model.ptg000006l_1.447</t>
  </si>
  <si>
    <t>31033.ENSTRUP00000027624</t>
  </si>
  <si>
    <t>4.8e-49</t>
  </si>
  <si>
    <t>159.6</t>
  </si>
  <si>
    <t>COG0049@1|root,KOG3291@2759|Eukaryota,38HF4@33154|Opisthokonta,3BDUG@33208|Metazoa,3D1W1@33213|Bilateria,480VR@7711|Chordata,4974T@7742|Vertebrata,49R79@7898|Actinopterygii</t>
  </si>
  <si>
    <t>ribosomal protein S7</t>
  </si>
  <si>
    <t>MRPS7</t>
  </si>
  <si>
    <t>GO:0000028,GO:0000313,GO:0000314,GO:0003674,GO:0003676,GO:0003723,GO:0003729,GO:0003735,GO:0005198,GO:0005488,GO:0005575,GO:0005622,GO:0005623,GO:0005737,GO:0005739,GO:0005740,GO:0005743,GO:0005759,GO:0005761,GO:0005763,GO:0005840,GO:0006412,GO:0006414,GO:0006415,GO:0006518,GO:0006807,GO:0006996,GO:0008150,GO:0008152,GO:0009058,GO:0009059,GO:0009987,GO:0010467,GO:0015935,GO:0016020,GO:0016043,GO:0019538,GO:0019843,GO:0019866,GO:0022411,GO:0022607,GO:0022613,GO:0022618,GO:0031090,GO:0031966,GO:0031967,GO:0031974,GO:0031975,GO:0032543,GO:0032984,GO:0032991,GO:0034622,GO:0034641,GO:0034645,GO:0042254,GO:0042255,GO:0042274,GO:0043043,GO:0043170,GO:0043226,GO:0043227,GO:0043228,GO:0043229,GO:0043231,GO:0043232,GO:0043233,GO:0043603,GO:0043604,GO:0043624,GO:0043933,GO:0044085,GO:0044237,GO:0044238,GO:0044249,GO:0044260,GO:0044267,GO:0044271,GO:0044391,GO:0044422,GO:0044424,GO:0044429,GO:0044444,GO:0044446,GO:0044464,GO:0065003,GO:0070013,GO:0070125,GO:0070126,GO:0070925,GO:0071704,GO:0071826,GO:0071840,GO:0097159,GO:0098798,GO:0140053,GO:1901363,GO:1901564,GO:1901566,GO:1901576,GO:1990904</t>
  </si>
  <si>
    <t>ko:K02992</t>
  </si>
  <si>
    <t>Ribosomal_S7</t>
  </si>
  <si>
    <t>mRpS9</t>
  </si>
  <si>
    <t>evm.model.ptg000009l_1.1903</t>
  </si>
  <si>
    <t>400682.PAC_15715956</t>
  </si>
  <si>
    <t>1.3e-48</t>
  </si>
  <si>
    <t>158.9</t>
  </si>
  <si>
    <t>COG0103@1|root,KOG1697@2759|Eukaryota,39SD3@33154|Opisthokonta,3B9HJ@33208|Metazoa</t>
  </si>
  <si>
    <t>ribosomal protein, S9</t>
  </si>
  <si>
    <t>MRPS9</t>
  </si>
  <si>
    <t>GO:0000313,GO:0000314,GO:0000462,GO:0003674,GO:0003676,GO:0003723,GO:0003735,GO:0005198,GO:0005488,GO:0005575,GO:0005622,GO:0005623,GO:0005634,GO:0005730,GO:0005737,GO:0005739,GO:0005740,GO:0005743,GO:0005759,GO:0005761,GO:0005763,GO:0005840,GO:0006139,GO:0006364,GO:0006396,GO:0006412,GO:0006414,GO:0006415,GO:0006518,GO:0006725,GO:0006807,GO:0006950,GO:0006974,GO:0008150,GO:0008152,GO:0009058,GO:0009059,GO:0009987,GO:0010467,GO:0015935,GO:0016020,GO:0016043,GO:0016070,GO:0016072,GO:0019538,GO:0019866,GO:0022411,GO:0022613,GO:0030490,GO:0031090,GO:0031966,GO:0031967,GO:0031974,GO:0031975,GO:0031981,GO:0032543,GO:0032984,GO:0032991,GO:0033554,GO:0034470,GO:0034641,GO:0034645,GO:0034660,GO:0042254,GO:0042274,GO:0042769,GO:0043043,GO:0043170,GO:0043226,GO:0043227,GO:0043228,GO:0043229,GO:0043231,GO:0043232,GO:0043233,GO:0043603,GO:0043604,GO:0043624,GO:0043933,GO:0044085,GO:0044237,GO:0044238,GO:0044249,GO:0044260,GO:0044267,GO:0044271,GO:0044391,GO:0044422,GO:0044424,GO:0044428,GO:0044429,GO:0044444,GO:0044446,GO:0044464,GO:0046483,GO:0050896,GO:0051606,GO:0051716,GO:0070013,GO:0070125,GO:0070126,GO:0071704,GO:0071840,GO:0090304,GO:0097159,GO:0098798,GO:0140053,GO:1901360,GO:1901363,GO:1901564,GO:1901566,GO:1901576,GO:1990904</t>
  </si>
  <si>
    <t>ko:K02996</t>
  </si>
  <si>
    <t>Ribosomal_S9</t>
  </si>
  <si>
    <t>mRpS10 (MRP-S10)</t>
  </si>
  <si>
    <t>evm.model.ptg000005l_1.459</t>
  </si>
  <si>
    <t>400682.PAC_15724448</t>
  </si>
  <si>
    <t>6.5e-26</t>
  </si>
  <si>
    <t>84.4</t>
  </si>
  <si>
    <t>COG0051@1|root,KOG3321@2759|Eukaryota,3A5KA@33154|Opisthokonta,3BF9Y@33208|Metazoa</t>
  </si>
  <si>
    <t>translation</t>
  </si>
  <si>
    <t>MRPS10</t>
  </si>
  <si>
    <t>ko:K02946</t>
  </si>
  <si>
    <t>Ribosomal_S10</t>
  </si>
  <si>
    <t>mRpS11</t>
  </si>
  <si>
    <t>mRpS14 (MRP-S14)</t>
  </si>
  <si>
    <t>mRpS16</t>
  </si>
  <si>
    <t>evm.model.ptg000016l_1.1181</t>
  </si>
  <si>
    <t>6183.Smp_066480.1</t>
  </si>
  <si>
    <t>1.3e-12</t>
  </si>
  <si>
    <t>39.5</t>
  </si>
  <si>
    <t>COG0228@1|root,KOG3419@2759|Eukaryota,3A5Q9@33154|Opisthokonta,3BRIW@33208|Metazoa,3D6FC@33213|Bilateria</t>
  </si>
  <si>
    <t>Ribosomal protein S16</t>
  </si>
  <si>
    <t>MRPS16</t>
  </si>
  <si>
    <t>ko:K02959</t>
  </si>
  <si>
    <t>M00178</t>
  </si>
  <si>
    <t>br01610,ko00000,ko00001,ko00002,ko03011,ko03029</t>
  </si>
  <si>
    <t>Ribosomal_S16</t>
  </si>
  <si>
    <t>mRpS17</t>
  </si>
  <si>
    <t>evm.model.ptg000005l_1.1463</t>
  </si>
  <si>
    <t>8364.ENSXETP00000022236</t>
  </si>
  <si>
    <t>4.3e-16</t>
  </si>
  <si>
    <t>53.0</t>
  </si>
  <si>
    <t>KOG3447@1|root,KOG3447@2759|Eukaryota,3A1JW@33154|Opisthokonta,3BQS5@33208|Metazoa,3D7NG@33213|Bilateria,48E81@7711|Chordata,49BP2@7742|Vertebrata</t>
  </si>
  <si>
    <t>MRPS17</t>
  </si>
  <si>
    <t>ko:K02961</t>
  </si>
  <si>
    <t>Ribosomal_S17</t>
  </si>
  <si>
    <t>mRpS18B</t>
  </si>
  <si>
    <t>mRpS18C (mRpS18a)</t>
  </si>
  <si>
    <t>evm.model.ptg000005l_1.728</t>
  </si>
  <si>
    <t>7739.XP_002609096.1</t>
  </si>
  <si>
    <t>1.1e-20</t>
  </si>
  <si>
    <t>67.0</t>
  </si>
  <si>
    <t>KOG3162@1|root,KOG3162@2759|Eukaryota,3A4HA@33154|Opisthokonta,3BRCW@33208|Metazoa,3D87V@33213|Bilateria,48E4F@7711|Chordata</t>
  </si>
  <si>
    <t>MRPS18C</t>
  </si>
  <si>
    <t>GO:0000313,GO:0000314,GO:0003674,GO:0003735,GO:0005198,GO:0005575,GO:0005622,GO:0005623,GO:0005737,GO:0005739,GO:0005740,GO:0005743,GO:0005759,GO:0005761,GO:0005763,GO:0005829,GO:0005840,GO:0006412,GO:0006414,GO:0006415,GO:0006518,GO:0006807,GO:0008150,GO:0008152,GO:0009058,GO:0009059,GO:0009987,GO:0010467,GO:0015935,GO:0016020,GO:0016043,GO:0019538,GO:0019866,GO:0022411,GO:0022626,GO:0022627,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0044445,GO:0044446,GO:0044464,GO:0070013,GO:0070125,GO:0070126,GO:0071704,GO:0071840,GO:0098798,GO:0140053,GO:1901564,GO:1901566,GO:1901576,GO:1990904</t>
  </si>
  <si>
    <t>ko:K02963</t>
  </si>
  <si>
    <t>Ribosomal_S18</t>
  </si>
  <si>
    <t>evm.model.ptg000013l_1.854</t>
  </si>
  <si>
    <t>79684.XP_005359903.1</t>
  </si>
  <si>
    <t>7.3e-12</t>
  </si>
  <si>
    <t>39.1</t>
  </si>
  <si>
    <t>KOG3162@1|root,KOG3162@2759|Eukaryota,39S04@33154|Opisthokonta,3BCHY@33208|Metazoa,3CWQD@33213|Bilateria,481KY@7711|Chordata,498I2@7742|Vertebrata,3J6I5@40674|Mammalia,35I2F@314146|Euarchontoglires,4PVS7@9989|Rodentia</t>
  </si>
  <si>
    <t>Ribosomal protein S18</t>
  </si>
  <si>
    <t>MRPS18A</t>
  </si>
  <si>
    <t>mRpS21</t>
  </si>
  <si>
    <t>mRpS22 (MRP-S22)</t>
  </si>
  <si>
    <t>evm.model.ptg000019l_1.1099</t>
  </si>
  <si>
    <t>144197.XP_008301497.1</t>
  </si>
  <si>
    <t>3.9e-41</t>
  </si>
  <si>
    <t>135.0</t>
  </si>
  <si>
    <t>KOG3890@1|root,KOG3890@2759|Eukaryota,38JH5@33154|Opisthokonta,3BGIN@33208|Metazoa,3CSF9@33213|Bilateria,48B0F@7711|Chordata,49450@7742|Vertebrata,49ZBD@7898|Actinopterygii</t>
  </si>
  <si>
    <t>ribosomal protein S22</t>
  </si>
  <si>
    <t>MRPS22</t>
  </si>
  <si>
    <t>ko:K17401</t>
  </si>
  <si>
    <t>br01610,ko00000,ko03011,ko03029</t>
  </si>
  <si>
    <t>MRP-S22</t>
  </si>
  <si>
    <t>mRpS23 (l(2)SH0272)</t>
  </si>
  <si>
    <t>evm.model.ptg000044l_1.1491</t>
  </si>
  <si>
    <t>176946.XP_007426891.1</t>
  </si>
  <si>
    <t>7.5e-16</t>
  </si>
  <si>
    <t>51.8</t>
  </si>
  <si>
    <t>2C9V7@1|root,2RZIC@2759|Eukaryota,3A1GY@33154|Opisthokonta,3BR1W@33208|Metazoa,3D7T2@33213|Bilateria,487GA@7711|Chordata,48VU1@7742|Vertebrata</t>
  </si>
  <si>
    <t>Ribosomal protein S23</t>
  </si>
  <si>
    <t>MRPS23</t>
  </si>
  <si>
    <t>GO:0000313,GO:0000314,GO:0003674,GO:0003735,GO:0005198,GO:0005575,GO:0005622,GO:0005623,GO:0005634,GO:0005635,GO:0005737,GO:0005739,GO:0005740,GO:0005743,GO:0005759,GO:0005761,GO:0005763,GO:0005840,GO:0005856,GO:0006412,GO:0006414,GO:0006415,GO:0006518,GO:0006807,GO:0008150,GO:0008152,GO:0009058,GO:0009059,GO:0009987,GO:0010467,GO:0012505,GO:0015935,GO:0016020,GO:0016043,GO:0019538,GO:0019866,GO:0022411,GO:0031090,GO:0031965,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0044464,GO:0045111,GO:0070013,GO:0070125,GO:0070126,GO:0071704,GO:0071840,GO:0098798,GO:0140053,GO:1901564,GO:1901566,GO:1901576,GO:1990904</t>
  </si>
  <si>
    <t>ko:K17402,ko:K19528</t>
  </si>
  <si>
    <t>ko03440,map03440</t>
  </si>
  <si>
    <t>br01610,ko00000,ko00001,ko03011,ko03036,ko03400</t>
  </si>
  <si>
    <t>MRP-S23</t>
  </si>
  <si>
    <t>mRpS24 (MRP-S24)</t>
  </si>
  <si>
    <t>mRpS25 (MRP-S25)</t>
  </si>
  <si>
    <t>mRpS26</t>
  </si>
  <si>
    <t>mRpS28</t>
  </si>
  <si>
    <t>mRpS29</t>
  </si>
  <si>
    <t>mRpS30</t>
  </si>
  <si>
    <t>evm.model.ptg000007l_1.407</t>
  </si>
  <si>
    <t>126957.SMAR008818-PA</t>
  </si>
  <si>
    <t>9.4e-09</t>
  </si>
  <si>
    <t>KOG4461@1|root,KOG4461@2759|Eukaryota,38FXF@33154|Opisthokonta,3BCVH@33208|Metazoa,3CZYJ@33213|Bilateria,41UQC@6656|Arthropoda</t>
  </si>
  <si>
    <t>Structural constituent of ribosome. It is involved in the biological process described with translation</t>
  </si>
  <si>
    <t>MRPS30</t>
  </si>
  <si>
    <t>GO:0000313,GO:0000314,GO:0003674,GO:0003735,GO:0005198,GO:0005575,GO:0005622,GO:0005623,GO:0005737,GO:0005739,GO:0005740,GO:0005743,GO:0005759,GO:0005761,GO:0005763,GO:0005840,GO:0006412,GO:0006414,GO:0006415,GO:0006518,GO:0006807,GO:0006915,GO:0008150,GO:0008152,GO:0008219,GO:0009058,GO:0009059,GO:0009987,GO:0010467,GO:0012501,GO:0015935,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</si>
  <si>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ko:K17409</t>
  </si>
  <si>
    <t>br01610,ko00000,ko03011</t>
  </si>
  <si>
    <t>PDCD9</t>
  </si>
  <si>
    <t>mRpS31</t>
  </si>
  <si>
    <t>evm.model.ptg000016l_1.1112</t>
  </si>
  <si>
    <t>7165.AGAP011931-PA</t>
  </si>
  <si>
    <t>9.6e-19</t>
  </si>
  <si>
    <t>61.2</t>
  </si>
  <si>
    <t>28KG2@1|root,2QSX9@2759|Eukaryota,39E31@33154|Opisthokonta,3BEIX@33208|Metazoa,3D01V@33213|Bilateria,41YUG@6656|Arthropoda,3SM9T@50557|Insecta,44YBN@7147|Diptera,45HNE@7148|Nematocera</t>
  </si>
  <si>
    <t>Mitochondrial ribosomal protein, S31</t>
  </si>
  <si>
    <t>MRPS31</t>
  </si>
  <si>
    <t>GO:0000313,GO:0000314,GO:0003674,GO:0003735,GO:0005198,GO:0005488,GO:0005515,GO:0005575,GO:0005622,GO:0005623,GO:0005634,GO:0005730,GO:0005737,GO:0005739,GO:0005740,GO:0005743,GO:0005759,GO:0005761,GO:0005763,GO:0005840,GO:0006412,GO:0006414,GO:0006415,GO:0006518,GO:0006807,GO:0008150,GO:0008152,GO:0009058,GO:0009059,GO:0009987,GO:0010467,GO:0015935,GO:0016020,GO:0016043,GO:0019538,GO:0019866,GO:0019904,GO:0022411,GO:0031090,GO:0031966,GO:0031967,GO:0031974,GO:0031975,GO:0031981,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0044464,GO:0070013,GO:0070125,GO:0070126,GO:0071704,GO:0071840,GO:0098798,GO:0140053,GO:1901564,GO:1901566,GO:1901576,GO:1990904</t>
  </si>
  <si>
    <t>ko:K17410</t>
  </si>
  <si>
    <t>MRP-S31</t>
  </si>
  <si>
    <t>mRpS33</t>
  </si>
  <si>
    <t>evm.model.ptg000030l_1.560</t>
  </si>
  <si>
    <t>43151.ADAC000308-PA</t>
  </si>
  <si>
    <t>1.1e-07</t>
  </si>
  <si>
    <t>KOG4104@1|root,KOG4104@2759|Eukaryota,3A3G6@33154|Opisthokonta,3BRPP@33208|Metazoa,3D9D2@33213|Bilateria,420EY@6656|Arthropoda,3SNK8@50557|Insecta,453V8@7147|Diptera,45IEG@7148|Nematocera</t>
  </si>
  <si>
    <t>ribosomal protein S33</t>
  </si>
  <si>
    <t>MRPS33</t>
  </si>
  <si>
    <t>ko:K17411</t>
  </si>
  <si>
    <t>MRP-S33</t>
  </si>
  <si>
    <t>mRpS34</t>
  </si>
  <si>
    <t>mRpS35</t>
  </si>
  <si>
    <t>evm.model.ptg000032l_1.333</t>
  </si>
  <si>
    <t>7918.ENSLOCP00000020621</t>
  </si>
  <si>
    <t>6.6e-44</t>
  </si>
  <si>
    <t>143.7</t>
  </si>
  <si>
    <t>KOG3933@1|root,KOG3933@2759|Eukaryota,39338@33154|Opisthokonta,3B9NS@33208|Metazoa,3D1NA@33213|Bilateria,481BI@7711|Chordata,4996M@7742|Vertebrata,49T6P@7898|Actinopterygii</t>
  </si>
  <si>
    <t>ribosomal protein S35</t>
  </si>
  <si>
    <t>MRPS35</t>
  </si>
  <si>
    <t>GO:0000313,GO:0000314,GO:0003674,GO:0003735,GO:0005198,GO:0005575,GO:0005622,GO:0005623,GO:0005737,GO:0005739,GO:0005740,GO:0005743,GO:0005759,GO:0005761,GO:0005763,GO:0005840,GO:0006412,GO:0006414,GO:0006415,GO:0006518,GO:0006807,GO:0006950,GO:0006974,GO:0008150,GO:0008152,GO:0009058,GO:0009059,GO:0009987,GO:0010467,GO:0015935,GO:0016020,GO:0016043,GO:0019538,GO:0019866,GO:0022411,GO:0031090,GO:0031966,GO:0031967,GO:0031974,GO:0031975,GO:0032543,GO:0032984,GO:0032991,GO:0033554,GO:0034641,GO:0034645,GO:0042769,GO:0043043,GO:0043170,GO:0043226,GO:0043227,GO:0043228,GO:0043229,GO:0043231,GO:0043232,GO:0043233,GO:0043603,GO:0043604,GO:0043624,GO:0043933,GO:0044237,GO:0044238,GO:0044249,GO:0044260,GO:0044267,GO:0044271,GO:0044391,GO:0044422,GO:0044424,GO:0044429,GO:0044444,GO:0044446,GO:0044464,GO:0050896,GO:0051606,GO:0051716,GO:0070013,GO:0070125,GO:0070126,GO:0071704,GO:0071840,GO:0098798,GO:0140053,GO:1901564,GO:1901566,GO:1901576,GO:1990904</t>
  </si>
  <si>
    <t>ko:K17413</t>
  </si>
  <si>
    <t>MRP-S28</t>
  </si>
  <si>
    <t>mt:srNRA (12S rRNA, srRNA, 12S, mtsrRNA, mtrRNA)</t>
  </si>
  <si>
    <t>Ptcd3</t>
  </si>
  <si>
    <t>evm.model.ptg000013l_1.815</t>
  </si>
  <si>
    <t>400682.PAC_15725757</t>
  </si>
  <si>
    <t>1.6e-07</t>
  </si>
  <si>
    <t>KOG4422@1|root,KOG4422@2759|Eukaryota,38DR9@33154|Opisthokonta,3BG10@33208|Metazoa</t>
  </si>
  <si>
    <t>S</t>
  </si>
  <si>
    <t>pentatricopeptide repeat domain-containing protein 3, mitochondrial</t>
  </si>
  <si>
    <t>PTCD3</t>
  </si>
  <si>
    <t>GO:0003674,GO:0003676,GO:0003723,GO:0005488,GO:0005575,GO:0005622,GO:0005623,GO:0005634,GO:0005654,GO:0005737,GO:0005739,GO:0005740,GO:0005743,GO:0005829,GO:0005886,GO:0006412,GO:0006414,GO:0006415,GO:0006518,GO:0006807,GO:0008150,GO:0008152,GO:0009058,GO:0009059,GO:0009987,GO:0010467,GO:0016020,GO:0016043,GO:0019538,GO:0019843,GO:0019866,GO:0022411,GO:0031090,GO:0031966,GO:0031967,GO:0031974,GO:0031975,GO:0031981,GO:0032543,GO:0032984,GO:0034641,GO:0034645,GO:0043021,GO:0043024,GO:0043043,GO:0043170,GO:0043226,GO:0043227,GO:0043229,GO:0043231,GO:0043233,GO:0043603,GO:0043604,GO:0043624,GO:0043933,GO:0044237,GO:0044238,GO:0044249,GO:0044260,GO:0044267,GO:0044271,GO:0044422,GO:0044424,GO:0044428,GO:0044429,GO:0044444,GO:0044446,GO:0044464,GO:0044877,GO:0070013,GO:0070125,GO:0070126,GO:0071704,GO:0071840,GO:0071944,GO:0097159,GO:0140053,GO:1901363,GO:1901564,GO:1901566,GO:1901576</t>
  </si>
  <si>
    <t>ko:K17659</t>
  </si>
  <si>
    <t>ko00000,ko03029</t>
  </si>
  <si>
    <t>PPR_2,PPR_3</t>
  </si>
  <si>
    <t xml:space="preserve">tko (mRpS12, mitoribosomal protein S12, EG:BACH59J11.1, l(1)tko) </t>
  </si>
  <si>
    <t>evm.model.ptg000044l_1.271</t>
  </si>
  <si>
    <t>7668.SPU_021149-tr</t>
  </si>
  <si>
    <t>3.3e-34</t>
  </si>
  <si>
    <t>110.8</t>
  </si>
  <si>
    <t>COG0048@1|root,KOG1750@2759|Eukaryota,3A1XA@33154|Opisthokonta,3BRCC@33208|Metazoa,3D69C@33213|Bilateria</t>
  </si>
  <si>
    <t>structural constituent of ribosome</t>
  </si>
  <si>
    <t>MRPS12</t>
  </si>
  <si>
    <t>ko:K02950</t>
  </si>
  <si>
    <t>Ribosom_S12_S23</t>
  </si>
  <si>
    <t>MITOCHONDRIAL LARGE RIBOSOMAL SUBUNIT (53)</t>
  </si>
  <si>
    <t>CG6094</t>
  </si>
  <si>
    <t>CG14817 (EG:63B12.11)</t>
  </si>
  <si>
    <t>CRIF</t>
  </si>
  <si>
    <t>mRpL1</t>
  </si>
  <si>
    <t>evm.model.ptg000016l_1.700</t>
  </si>
  <si>
    <t>144197.XP_008294752.1</t>
  </si>
  <si>
    <t>3.3e-09</t>
  </si>
  <si>
    <t>30.2</t>
  </si>
  <si>
    <t>COG0081@1|root,KOG1569@2759|Eukaryota,39MR8@33154|Opisthokonta,3BJFA@33208|Metazoa,3CXQY@33213|Bilateria,4850V@7711|Chordata,48UWY@7742|Vertebrata,49UPK@7898|Actinopterygii</t>
  </si>
  <si>
    <t>ribosomal protein L1</t>
  </si>
  <si>
    <t>MRPL1</t>
  </si>
  <si>
    <t>GO:0000154,GO:0000313,GO:0000315,GO:0000469,GO:0000470,GO:0001522,GO:0003674,GO:0003676,GO:0003723,GO:0003735,GO:0005198,GO:0005488,GO:0005575,GO:0005622,GO:0005623,GO:0005634,GO:0005730,GO:0005732,GO:0005737,GO:0005739,GO:0005740,GO:0005743,GO:0005759,GO:0005761,GO:0005762,GO:0005840,GO:0006139,GO:0006364,GO:0006396,GO:0006412,GO:0006414,GO:0006415,GO:0006518,GO:0006725,GO:0006807,GO:0008150,GO:0008152,GO:0009058,GO:0009059,GO:0009451,GO:0009987,GO:0010467,GO:0015934,GO:0016020,GO:0016043,GO:0016070,GO:0016072,GO:0016073,GO:0019538,GO:0019866,GO:0022411,GO:0022613,GO:0030515,GO:0031090,GO:0031118,GO:0031120,GO:0031429,GO:0031966,GO:0031967,GO:0031974,GO:0031975,GO:0031981,GO:0032543,GO:0032984,GO:0032991,GO:0034470,GO:0034513,GO:0034641,GO:0034645,GO:0034660,GO:0040031,GO:0042254,GO:0042273,GO:0043043,GO:0043170,GO:0043226,GO:0043227,GO:0043228,GO:0043229,GO:0043231,GO:0043232,GO:0043233,GO:0043412,GO:0043603,GO:0043604,GO:0043624,GO:0043933,GO:0044085,GO:0044237,GO:0044238,GO:0044249,GO:0044260,GO:0044267,GO:0044271,GO:0044391,GO:0044422,GO:0044424,GO:0044428,GO:0044429,GO:0044444,GO:0044446,GO:0044452,GO:0044464,GO:0046483,GO:0070013,GO:0070125,GO:0070126,GO:0071704,GO:0071840,GO:0072588,GO:0090304,GO:0090305,GO:0090501,GO:0097159,GO:0098798,GO:0140053,GO:1901360,GO:1901363,GO:1901564,GO:1901566,GO:1901576,GO:1902494,GO:1990904</t>
  </si>
  <si>
    <t>ko:K02863</t>
  </si>
  <si>
    <t>Ribosomal_L1</t>
  </si>
  <si>
    <t>mRpL2</t>
  </si>
  <si>
    <t>mRpL3</t>
  </si>
  <si>
    <t>evm.model.ptg000005l_1.290</t>
  </si>
  <si>
    <t>34839.XP_005406898.1</t>
  </si>
  <si>
    <t>2.3e-20</t>
  </si>
  <si>
    <t>66.3</t>
  </si>
  <si>
    <t>COG0087@1|root,KOG3141@2759|Eukaryota,38H1P@33154|Opisthokonta,3BH4P@33208|Metazoa,3D1ZM@33213|Bilateria,4888M@7711|Chordata,496YE@7742|Vertebrata,3JFVA@40674|Mammalia,35AEA@314146|Euarchontoglires,4PXMB@9989|Rodentia</t>
  </si>
  <si>
    <t>ribosomal protein L3</t>
  </si>
  <si>
    <t>MRPL3</t>
  </si>
  <si>
    <t>GO:0000313,GO:0000314,GO:0000315,GO:0003674,GO:0003735,GO:0005198,GO:0005575,GO:0005622,GO:0005623,GO:0005737,GO:0005739,GO:0005740,GO:0005743,GO:0005759,GO:0005761,GO:0005762,GO:0005763,GO:0005840,GO:0006412,GO:0006414,GO:0006415,GO:0006518,GO:0006807,GO:0008150,GO:0008152,GO:0009058,GO:0009059,GO:0009987,GO:0010467,GO:0015934,GO:0015935,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</si>
  <si>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ko:K02906</t>
  </si>
  <si>
    <t>Ribosomal_L3</t>
  </si>
  <si>
    <t>mRpL4 (l(2)35Fe, l(2)k14608, BG:DS02740.17)</t>
  </si>
  <si>
    <t>evm.model.ptg000019l_1.1792</t>
  </si>
  <si>
    <t>60711.ENSCSAP00000003629</t>
  </si>
  <si>
    <t>3.2e-27</t>
  </si>
  <si>
    <t>88.8</t>
  </si>
  <si>
    <t>COG0088@1|root,KOG1624@2759|Eukaryota,38BG5@33154|Opisthokonta,3BF2T@33208|Metazoa,3CUTH@33213|Bilateria,4865Z@7711|Chordata,492EY@7742|Vertebrata,3JFAD@40674|Mammalia,358ZK@314146|Euarchontoglires,4M61M@9443|Primates,35XX1@314294|Cercopithecoidea</t>
  </si>
  <si>
    <t>ribosomal protein L4</t>
  </si>
  <si>
    <t>MRPL4</t>
  </si>
  <si>
    <t>GO:0000313,GO:0000315,GO:0003674,GO:0003676,GO:0003723,GO:0003735,GO:0005198,GO:0005488,GO:0005575,GO:0005622,GO:0005623,GO:0005737,GO:0005739,GO:0005740,GO:0005743,GO:0005759,GO:0005761,GO:0005762,GO:0005829,GO:0005840,GO:0006412,GO:0006414,GO:0006415,GO:0006518,GO:0006807,GO:0008150,GO:0008152,GO:0009058,GO:0009059,GO:0009987,GO:0010467,GO:0015934,GO:0016020,GO:0016043,GO:0019538,GO:0019866,GO:0022411,GO:0022626,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0044445,GO:0044446,GO:0044464,GO:0070013,GO:0070125,GO:0070126,GO:0071704,GO:0071840,GO:0097159,GO:0098798,GO:0140053,GO:1901363,GO:1901564,GO:1901566,GO:1901576,GO:1990904</t>
  </si>
  <si>
    <t>ko:K02926</t>
  </si>
  <si>
    <t>Ribosomal_L4</t>
  </si>
  <si>
    <t>mRpL9</t>
  </si>
  <si>
    <t>mRpL10</t>
  </si>
  <si>
    <t>evm.model.ptg000005l_1.1770</t>
  </si>
  <si>
    <t>7994.ENSAMXP00000010826</t>
  </si>
  <si>
    <t>1.4e-16</t>
  </si>
  <si>
    <t>53.7</t>
  </si>
  <si>
    <t>KOG4241@1|root,KOG4241@2759|Eukaryota,39Y6E@33154|Opisthokonta,3BK1B@33208|Metazoa,3D0YM@33213|Bilateria,486TE@7711|Chordata,496EK@7742|Vertebrata,49VZ2@7898|Actinopterygii</t>
  </si>
  <si>
    <t>Ribosomal protein L10</t>
  </si>
  <si>
    <t>MRPL10</t>
  </si>
  <si>
    <t>GO:0000313,GO:0000315,GO:0003674,GO:0003735,GO:0005198,GO:0005575,GO:0005622,GO:0005623,GO:0005634,GO:0005654,GO:0005737,GO:0005739,GO:0005740,GO:0005743,GO:0005759,GO:0005761,GO:0005762,GO:0005840,GO:0006412,GO:0006414,GO:0006415,GO:0006518,GO:0006807,GO:0008150,GO:0008152,GO:0009058,GO:0009059,GO:0009987,GO:0010467,GO:0015934,GO:0016020,GO:0016043,GO:0019538,GO:0019866,GO:0022411,GO:0031090,GO:0031966,GO:0031967,GO:0031974,GO:0031975,GO:0031981,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0044464,GO:0070013,GO:0070125,GO:0070126,GO:0071704,GO:0071840,GO:0098798,GO:0140053,GO:1901564,GO:1901566,GO:1901576,GO:1990904</t>
  </si>
  <si>
    <t>ko:K02864</t>
  </si>
  <si>
    <t>Ribosomal_L10</t>
  </si>
  <si>
    <t>mRpL11 (rpl-11)</t>
  </si>
  <si>
    <t>evm.model.ptg000044l_1.342</t>
  </si>
  <si>
    <t>45351.EDO40195</t>
  </si>
  <si>
    <t>1.2e-47</t>
  </si>
  <si>
    <t>154.8</t>
  </si>
  <si>
    <t>COG0080@1|root,KOG3257@2759|Eukaryota,3A3F4@33154|Opisthokonta,3BJD5@33208|Metazoa</t>
  </si>
  <si>
    <t>ribosomal large subunit assembly</t>
  </si>
  <si>
    <t>mrpl-11</t>
  </si>
  <si>
    <t>GO:0000027,GO:0000313,GO:0000315,GO:0003674,GO:0003676,GO:0003723,GO:0003735,GO:0005198,GO:0005488,GO:0005575,GO:0005622,GO:0005623,GO:0005737,GO:0005739,GO:0005759,GO:0005761,GO:0005762,GO:0005840,GO:0006412,GO:0006518,GO:0006807,GO:0006996,GO:0008150,GO:0008152,GO:0009058,GO:0009059,GO:0009987,GO:0010467,GO:0015934,GO:0016043,GO:0019538,GO:0019843,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0097159,GO:0098798,GO:0140053,GO:1901363,GO:1901564,GO:1901566,GO:1901576,GO:1990904</t>
  </si>
  <si>
    <t>ko:K02867</t>
  </si>
  <si>
    <t>Ribosomal_L11,Ribosomal_L11_N</t>
  </si>
  <si>
    <t>mRpL12 (l(3)10534, mRpL7-L12, Mrp17)</t>
  </si>
  <si>
    <t>evm.model.ptg000044l_1.1077</t>
  </si>
  <si>
    <t>10224.XP_002736318.1</t>
  </si>
  <si>
    <t>7.1e-38</t>
  </si>
  <si>
    <t>123.2</t>
  </si>
  <si>
    <t>COG0222@1|root,KOG1715@2759|Eukaryota,3A5P9@33154|Opisthokonta,3BSGU@33208|Metazoa,3D99H@33213|Bilateria</t>
  </si>
  <si>
    <t>MRPL12</t>
  </si>
  <si>
    <t>GO:0000313,GO:0000314,GO:0000315,GO:0000959,GO:0001558,GO:0003674,GO:0003676,GO:0003682,GO:0003723,GO:0003735,GO:0005198,GO:0005488,GO:0005515,GO:0005575,GO:0005622,GO:0005623,GO:0005737,GO:0005739,GO:0005740,GO:0005743,GO:0005759,GO:0005761,GO:0005762,GO:0005763,GO:0005840,GO:0006139,GO:0006351,GO:0006355,GO:0006390,GO:0006412,GO:0006414,GO:0006415,GO:0006518,GO:0006725,GO:0006807,GO:0006810,GO:0006839,GO:0006996,GO:0007005,GO:0008150,GO:0008152,GO:0009058,GO:0009059,GO:0009889,GO:0009891,GO:0009893,GO:0009987,GO:0010467,GO:0010468,GO:0010556,GO:0010557,GO:0010604,GO:0010628,GO:0015934,GO:0015935,GO:0016020,GO:0016021,GO:0016043,GO:0016070,GO:0018130,GO:0019219,GO:0019222,GO:0019438,GO:0019538,GO:0019866,GO:0022411,GO:0030307,GO:0031090,GO:0031224,GO:0031323,GO:0031325,GO:0031326,GO:0031328,GO:0031966,GO:0031967,GO:0031974,GO:0031975,GO:0032543,GO:0032774,GO:0032984,GO:0032991,GO:0034641,GO:0034645,GO:0034654,GO:0040008,GO:0043043,GO:0043170,GO:0043226,GO:0043227,GO:0043228,GO:0043229,GO:0043231,GO:0043232,GO:0043233,GO:0043603,GO:0043604,GO:0043624,GO:0043933,GO:0044237,GO:0044238,GO:0044249,GO:0044260,GO:0044267,GO:0044271,GO:0044391,GO:0044422,GO:0044424,GO:0044425,GO:0044429,GO:0044444,GO:0044446,GO:0044464,GO:0045893,GO:0045927,GO:0045935,GO:0046483,GO:0048518,GO:0048522,GO:0050789,GO:0050794,GO:0051128,GO:0051171,GO:0051173,GO:0051179,GO:0051234,GO:0051252,GO:0051254,GO:0060255,GO:0065007,GO:0070013,GO:0070125,GO:0070126,GO:0071704,GO:0071840,GO:0080090,GO:0090304,GO:0097159,GO:0097659,GO:0098798,GO:0140053,GO:1901360,GO:1901362,GO:1901363,GO:1901564,GO:1901566,GO:1901576,GO:1902680,GO:1903506,GO:1903508,GO:1990904,GO:2000112,GO:2001141</t>
  </si>
  <si>
    <t>ko:K02935,ko:K13577</t>
  </si>
  <si>
    <t>ko03010,ko04964,map03010,map04964</t>
  </si>
  <si>
    <t>br01610,ko00000,ko00001,ko00002,ko02000,ko03011</t>
  </si>
  <si>
    <t>2.A.29.2.2,2.A.29.2.3,2.A.29.2.7</t>
  </si>
  <si>
    <t>Ribosomal_L12,Ribosomal_L12_N</t>
  </si>
  <si>
    <t>mRpL13</t>
  </si>
  <si>
    <t>evm.model.ptg000032l_1.722</t>
  </si>
  <si>
    <t>400682.PAC_15724294</t>
  </si>
  <si>
    <t>1.9e-32</t>
  </si>
  <si>
    <t>105.9</t>
  </si>
  <si>
    <t>COG0102@1|root,KOG3203@2759|Eukaryota,39NT7@33154|Opisthokonta,3BJNS@33208|Metazoa</t>
  </si>
  <si>
    <t>MRPL13</t>
  </si>
  <si>
    <t>GO:0000313,GO:0000315,GO:0003674,GO:0003676,GO:0003723,GO:0003729,GO:0003735,GO:0005198,GO:0005488,GO:0005575,GO:0005622,GO:0005623,GO:0005737,GO:0005739,GO:0005740,GO:0005743,GO:0005759,GO:0005761,GO:0005762,GO:0005840,GO:0006412,GO:0006414,GO:0006415,GO:0006518,GO:0006807,GO:0008150,GO:0008152,GO:0009058,GO:0009059,GO:0009987,GO:0010467,GO:0015934,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0097159,GO:0098798,GO:0140053,GO:1901363,GO:1901564,GO:1901566,GO:1901576,GO:1990904</t>
  </si>
  <si>
    <t>2.7.11.1</t>
  </si>
  <si>
    <t>ko:K02871,ko:K08798</t>
  </si>
  <si>
    <t>br01610,ko00000,ko00001,ko00002,ko01000,ko01001,ko03011,ko04812</t>
  </si>
  <si>
    <t>Ribosomal_L13</t>
  </si>
  <si>
    <t>mRpL14 (EG:BACH48C10.6)</t>
  </si>
  <si>
    <t>mRpL15 (l(3)77CDc)</t>
  </si>
  <si>
    <t>evm.model.ptg000005l_1.2041</t>
  </si>
  <si>
    <t>10228.TriadP21981</t>
  </si>
  <si>
    <t>4.8e-29</t>
  </si>
  <si>
    <t>94.6</t>
  </si>
  <si>
    <t>COG0200@1|root,KOG0846@2759|Eukaryota,38I02@33154|Opisthokonta,3BC2K@33208|Metazoa</t>
  </si>
  <si>
    <t>ribosomal protein L15</t>
  </si>
  <si>
    <t>MRPL15</t>
  </si>
  <si>
    <t>GO:0000002,GO:0000313,GO:0000315,GO:0003674,GO:0003735,GO:0005198,GO:0005575,GO:0005622,GO:0005623,GO:0005737,GO:0005739,GO:0005740,GO:0005743,GO:0005759,GO:0005761,GO:0005762,GO:0005840,GO:0006412,GO:0006414,GO:0006415,GO:0006518,GO:0006807,GO:0006996,GO:0007005,GO:0008150,GO:0008152,GO:0009058,GO:0009059,GO:0009987,GO:0010033,GO:0010467,GO:0015934,GO:0016020,GO:0016043,GO:0019538,GO:0019866,GO:0022411,GO:0031090,GO:0031966,GO:0031967,GO:0031974,GO:0031975,GO:0032543,GO:0032984,GO:0032991,GO:0034097,GO:0034641,GO:0034645,GO:0042221,GO:0043043,GO:0043170,GO:0043226,GO:0043227,GO:0043228,GO:0043229,GO:0043231,GO:0043232,GO:0043233,GO:0043603,GO:0043604,GO:0043624,GO:0043933,GO:0044237,GO:0044238,GO:0044249,GO:0044260,GO:0044267,GO:0044271,GO:0044391,GO:0044422,GO:0044424,GO:0044429,GO:0044444,GO:0044446,GO:0044464,GO:0050896,GO:0051716,GO:0070013,GO:0070125,GO:0070126,GO:0070887,GO:0071310,GO:0071345,GO:0071704,GO:0071840,GO:0098798,GO:0140053,GO:1901564,GO:1901566,GO:1901576,GO:1990823,GO:1990830,GO:1990904</t>
  </si>
  <si>
    <t>ko:K02876</t>
  </si>
  <si>
    <t>Ribosomal_L27A</t>
  </si>
  <si>
    <t>mRpL16 (EG:63B12.2, anon-2Bd, D-15)</t>
  </si>
  <si>
    <t>mRpL17</t>
  </si>
  <si>
    <t>evm.model.ptg000013l_1.914</t>
  </si>
  <si>
    <t>7739.XP_002606181.1</t>
  </si>
  <si>
    <t>1.8e-19</t>
  </si>
  <si>
    <t>63.1</t>
  </si>
  <si>
    <t>COG0203@1|root,KOG3280@2759|Eukaryota,3A1BW@33154|Opisthokonta,3BPTN@33208|Metazoa,3D6XY@33213|Bilateria,48896@7711|Chordata</t>
  </si>
  <si>
    <t>mitochondrial genome maintenance</t>
  </si>
  <si>
    <t>MRPL17</t>
  </si>
  <si>
    <t>GO:0000002,GO:0000313,GO:0000315,GO:0003674,GO:0003735,GO:0005198,GO:0005488,GO:0005515,GO:0005575,GO:0005622,GO:0005623,GO:0005737,GO:0005739,GO:0005740,GO:0005743,GO:0005759,GO:0005761,GO:0005762,GO:0005840,GO:0006412,GO:0006414,GO:0006415,GO:0006518,GO:0006807,GO:0006996,GO:0007005,GO:0008150,GO:0008152,GO:0009058,GO:0009059,GO:0009987,GO:0010467,GO:0015934,GO:0016020,GO:0016043,GO:0019538,GO:0019866,GO:0019904,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</si>
  <si>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ko:K02879</t>
  </si>
  <si>
    <t>Ribosomal_L17</t>
  </si>
  <si>
    <t>mRpL18</t>
  </si>
  <si>
    <t>evm.model.ptg000030l_1.1253</t>
  </si>
  <si>
    <t>10224.XP_002738804.1</t>
  </si>
  <si>
    <t>1.7e-17</t>
  </si>
  <si>
    <t>55.8</t>
  </si>
  <si>
    <t>KOG3333@1|root,KOG3333@2759|Eukaryota,3A1EZ@33154|Opisthokonta,3BPXH@33208|Metazoa,3D02J@33213|Bilateria</t>
  </si>
  <si>
    <t>ribosomal protein L18</t>
  </si>
  <si>
    <t>MRPL18</t>
  </si>
  <si>
    <t>GO:0000313,GO:0000315,GO:0003674,GO:0003676,GO:0003723,GO:0005488,GO:0005575,GO:0005622,GO:0005623,GO:0005737,GO:0005739,GO:0005759,GO:0005761,GO:0005762,GO:0005840,GO:0006403,GO:0006810,GO:0006839,GO:0008097,GO:0008150,GO:0015931,GO:0015934,GO:0019843,GO:0031974,GO:0032991,GO:0033036,GO:0035927,GO:0035928,GO:0043226,GO:0043227,GO:0043228,GO:0043229,GO:0043231,GO:0043232,GO:0043233,GO:0044391,GO:0044422,GO:0044424,GO:0044429,GO:0044444,GO:0044446,GO:0044464,GO:0050657,GO:0050658,GO:0051029,GO:0051179,GO:0051234,GO:0051236,GO:0055085,GO:0070013,GO:0071702,GO:0071705,GO:0097159,GO:0098798,GO:1901363,GO:1990542,GO:1990904</t>
  </si>
  <si>
    <t>ko:K02881</t>
  </si>
  <si>
    <t>Ribosomal_L18p</t>
  </si>
  <si>
    <t>mRpL19</t>
  </si>
  <si>
    <t>evm.model.ptg000019l_1.75</t>
  </si>
  <si>
    <t>6087.XP_002164420.2</t>
  </si>
  <si>
    <t>2.4e-28</t>
  </si>
  <si>
    <t>92.4</t>
  </si>
  <si>
    <t>COG0335@1|root,KOG1698@2759|Eukaryota,39SYN@33154|Opisthokonta,3BEVU@33208|Metazoa</t>
  </si>
  <si>
    <t>ribosomal protein L19</t>
  </si>
  <si>
    <t>MRPL19</t>
  </si>
  <si>
    <t>GO:0000313,GO:0000315,GO:0003674,GO:0003735,GO:0005198,GO:0005575,GO:0005622,GO:0005623,GO:0005634,GO:0005635,GO:0005737,GO:0005739,GO:0005740,GO:0005743,GO:0005759,GO:0005761,GO:0005762,GO:0005840,GO:0006412,GO:0006414,GO:0006415,GO:0006518,GO:0006807,GO:0008150,GO:0008152,GO:0009058,GO:0009059,GO:0009987,GO:0010467,GO:0012505,GO:0015934,GO:0016020,GO:0016043,GO:0019538,GO:0019866,GO:0022411,GO:0031090,GO:0031965,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0044464,GO:0070013,GO:0070125,GO:0070126,GO:0071704,GO:0071840,GO:0098798,GO:0140053,GO:1901564,GO:1901566,GO:1901576,GO:1990904</t>
  </si>
  <si>
    <t>ko:K02884</t>
  </si>
  <si>
    <t>Ribosomal_L19</t>
  </si>
  <si>
    <t>mRpL20</t>
  </si>
  <si>
    <t>evm.model.ptg000032l_1.723</t>
  </si>
  <si>
    <t>244447.XP_008318072.1</t>
  </si>
  <si>
    <t>2.7e-18</t>
  </si>
  <si>
    <t>56.4</t>
  </si>
  <si>
    <t>COG0292@1|root,KOG4707@2759|Eukaryota,3A7N0@33154|Opisthokonta,3CNMS@33208|Metazoa,3E4T1@33213|Bilateria,48RDN@7711|Chordata,49MZI@7742|Vertebrata</t>
  </si>
  <si>
    <t>Ribosomal protein L20</t>
  </si>
  <si>
    <t>Mrpl20</t>
  </si>
  <si>
    <t>GO:0000027,GO:0000313,GO:0000315,GO:0003674,GO:0003735,GO:0005198,GO:0005575,GO:0005622,GO:0005623,GO:0005737,GO:0005739,GO:0005759,GO:0005761,GO:0005762,GO:0005840,GO:0006412,GO:0006518,GO:0006807,GO:0006996,GO:0008150,GO:0008152,GO:0009058,GO:0009059,GO:0009987,GO:0010467,GO:0015934,GO:0016043,GO:0019538,GO:0022607,GO:0022613,GO:0022618,GO:0031974,GO:0032543,GO:0032991,GO:0034622,GO:0034641,GO:0034645,GO:0042254,GO:0042255,GO:0042273,GO:0043043,GO:0043170,GO:0043226,GO:0043227,GO:0043228,GO:0043229,GO:0043231,GO:0043232,GO:0043233,GO:0043603,GO:0043604,GO:0043933,GO:0044085,GO:0044237,GO:0044238,GO:0044249,GO:0044260,GO:0044267,GO:0044271,GO:0044391,GO:0044422,GO:0044424,GO:0044429,GO:0044444,GO:0044446,GO:0044464,GO:0065003,GO:0070013,GO:0070925,GO:0071704,GO:0071826,GO:0071840,GO:0098798,GO:0140053,GO:1901564,GO:1901566,GO:1901576,GO:1990904</t>
  </si>
  <si>
    <t>ko:K02887</t>
  </si>
  <si>
    <t>Ribosomal_L20</t>
  </si>
  <si>
    <t>mRpL21</t>
  </si>
  <si>
    <t>evm.model.ptg000019l_1.532</t>
  </si>
  <si>
    <t>7165.AGAP012030-PA</t>
  </si>
  <si>
    <t>2.1e-30</t>
  </si>
  <si>
    <t>99.0</t>
  </si>
  <si>
    <t>COG0261@1|root,KOG1686@2759|Eukaryota,39ZVK@33154|Opisthokonta,3BPNE@33208|Metazoa,3D90H@33213|Bilateria,41ZSX@6656|Arthropoda,3SN69@50557|Insecta,453CP@7147|Diptera,45IAE@7148|Nematocera</t>
  </si>
  <si>
    <t>39S ribosomal protein L21, mitochondrial</t>
  </si>
  <si>
    <t>MRPL21</t>
  </si>
  <si>
    <t>GO:0000313,GO:0000315,GO:0003674,GO:0003735,GO:0005198,GO:0005575,GO:0005622,GO:0005623,GO:0005737,GO:0005739,GO:0005740,GO:0005743,GO:0005759,GO:0005761,GO:0005762,GO:0005840,GO:0006412,GO:0006414,GO:0006415,GO:0006518,GO:0006807,GO:0008150,GO:0008152,GO:0009058,GO:0009059,GO:0009987,GO:0010467,GO:0015934,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</si>
  <si>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ko:K02888</t>
  </si>
  <si>
    <t>Ribosomal_L21p</t>
  </si>
  <si>
    <t>mRpL22 (L22)</t>
  </si>
  <si>
    <t>evm.model.ptg000041l_1.587</t>
  </si>
  <si>
    <t>45351.EDO37206</t>
  </si>
  <si>
    <t>8.5e-18</t>
  </si>
  <si>
    <t>57.9</t>
  </si>
  <si>
    <t>COG0091@1|root,KOG1711@2759|Eukaryota,39N6Y@33154|Opisthokonta,3BJ7D@33208|Metazoa</t>
  </si>
  <si>
    <t>MRPL22</t>
  </si>
  <si>
    <t>ko:K02890</t>
  </si>
  <si>
    <t>Ribosomal_L22</t>
  </si>
  <si>
    <t>mRpL23</t>
  </si>
  <si>
    <t>evm.model.ptg000019l_1.1818</t>
  </si>
  <si>
    <t>45351.EDO31749</t>
  </si>
  <si>
    <t>1.8e-20</t>
  </si>
  <si>
    <t>66.7</t>
  </si>
  <si>
    <t>KOG4089@1|root,KOG4089@2759|Eukaryota,3A5TU@33154|Opisthokonta,3BQRU@33208|Metazoa</t>
  </si>
  <si>
    <t>MRPL23</t>
  </si>
  <si>
    <t>GO:0000313,GO:0000315,GO:0001650,GO:0003674,GO:0003676,GO:0003723,GO:0003735,GO:0005198,GO:0005488,GO:0005575,GO:0005622,GO:0005623,GO:0005634,GO:0005730,GO:0005737,GO:0005739,GO:0005740,GO:0005743,GO:0005759,GO:0005761,GO:0005762,GO:0005840,GO:0006412,GO:0006414,GO:0006415,GO:0006518,GO:0006807,GO:0008150,GO:0008152,GO:0009058,GO:0009059,GO:0009987,GO:0010467,GO:0015934,GO:0016020,GO:0016043,GO:0019538,GO:0019866,GO:0022411,GO:0031090,GO:0031966,GO:0031967,GO:0031974,GO:0031975,GO:0031981,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0044452,GO:0044464,GO:0070013,GO:0070125,GO:0070126,GO:0071704,GO:0071840,GO:0097159,GO:0098798,GO:0140053,GO:1901363,GO:1901564,GO:1901566,GO:1901576,GO:1990904</t>
  </si>
  <si>
    <t>ko:K02892</t>
  </si>
  <si>
    <t>Ribosomal_L23</t>
  </si>
  <si>
    <t>mRpL24</t>
  </si>
  <si>
    <t>mRpL27</t>
  </si>
  <si>
    <t>mRpL28</t>
  </si>
  <si>
    <t>mRpL30</t>
  </si>
  <si>
    <t>evm.model.ptg000018l_1.263</t>
  </si>
  <si>
    <t>109478.XP_005862432.1</t>
  </si>
  <si>
    <t>2.8e-09</t>
  </si>
  <si>
    <t>KOG4799@1|root,KOG4799@2759|Eukaryota,3A7BF@33154|Opisthokonta,3BTB2@33208|Metazoa,3E4JR@33213|Bilateria,48R94@7711|Chordata,49MUU@7742|Vertebrata,3JQ1F@40674|Mammalia,4M5FC@9397|Chiroptera</t>
  </si>
  <si>
    <t>39S ribosomal protein L30</t>
  </si>
  <si>
    <t>Mrpl30</t>
  </si>
  <si>
    <t>GO:0000313,GO:0000315,GO:0003674,GO:0003735,GO:0005198,GO:0005575,GO:0005622,GO:0005623,GO:0005737,GO:0005739,GO:0005759,GO:0005761,GO:0005762,GO:0005840,GO:0006412,GO:0006518,GO:0006807,GO:0008150,GO:0008152,GO:0009058,GO:0009059,GO:0009987,GO:0010467,GO:0015934,GO:0019538,GO:0031974,GO:0032543,GO:0032991,GO:0034641,GO:0034645,GO:0043043,GO:0043170,GO:0043226,GO:0043227,GO:0043228,GO:0043229,GO:0043231,GO:0043232,GO:0043233,GO:0043603,GO:0043604,GO:0044237,GO:0044238,GO:0044249,GO:0044260,GO:0044267,GO:0044271,GO:0044391,GO:0044422,GO:0044424,GO:0044429,GO:0044444,GO:0044446,GO:0044464,GO:0070013,GO:0071704,GO:0098798,GO:0140053,GO:1901564,GO:1901566,GO:1901576,GO:1990904</t>
  </si>
  <si>
    <t>ko:K02907</t>
  </si>
  <si>
    <t>Ribosomal_L30</t>
  </si>
  <si>
    <t>mRpL32</t>
  </si>
  <si>
    <t>evm.model.ptg000019l_1.1797</t>
  </si>
  <si>
    <t>13249.RPRC002822-PA</t>
  </si>
  <si>
    <t>3.9e-12</t>
  </si>
  <si>
    <t>COG0333@1|root,KOG4080@2759|Eukaryota,3A2GA@33154|Opisthokonta,3BPSR@33208|Metazoa,3D2B1@33213|Bilateria,41ZA1@6656|Arthropoda,3SMXH@50557|Insecta,3EB7S@33342|Paraneoptera</t>
  </si>
  <si>
    <t>It is involved in the biological process described with translation</t>
  </si>
  <si>
    <t>MRPL32</t>
  </si>
  <si>
    <t>ko:K02911</t>
  </si>
  <si>
    <t>Ribosomal_L32p</t>
  </si>
  <si>
    <t>mRpL33</t>
  </si>
  <si>
    <t>mRpL34</t>
  </si>
  <si>
    <t>evm.model.ptg000012l_1.131</t>
  </si>
  <si>
    <t>9258.ENSOANP00000018863</t>
  </si>
  <si>
    <t>1.5e-10</t>
  </si>
  <si>
    <t>33.8</t>
  </si>
  <si>
    <t>KOG4612@1|root,KOG4612@2759|Eukaryota,3A7NN@33154|Opisthokonta,3BU9B@33208|Metazoa,3D9Z9@33213|Bilateria,48G59@7711|Chordata,49D1R@7742|Vertebrata,3JHTX@40674|Mammalia</t>
  </si>
  <si>
    <t>ribosomal protein L34</t>
  </si>
  <si>
    <t>MRPL34</t>
  </si>
  <si>
    <t>ko:K02914</t>
  </si>
  <si>
    <t>Ribosomal_L34</t>
  </si>
  <si>
    <t>mRpL35</t>
  </si>
  <si>
    <t>mRpL36</t>
  </si>
  <si>
    <t>mRpL37</t>
  </si>
  <si>
    <t>evm.model.ptg000007l_1.2290</t>
  </si>
  <si>
    <t>45351.EDO38360</t>
  </si>
  <si>
    <t>2.9e-21</t>
  </si>
  <si>
    <t>69.4</t>
  </si>
  <si>
    <t>2C9WK@1|root,2QQAQ@2759|Eukaryota,396EU@33154|Opisthokonta,3BABT@33208|Metazoa</t>
  </si>
  <si>
    <t>ribosomal protein L37</t>
  </si>
  <si>
    <t>MRPL37</t>
  </si>
  <si>
    <t>ko:K17418</t>
  </si>
  <si>
    <t>mRpL38</t>
  </si>
  <si>
    <t>evm.model.ptg000044l_1.236</t>
  </si>
  <si>
    <t>7668.SPU_009657-tr</t>
  </si>
  <si>
    <t>4.7e-15</t>
  </si>
  <si>
    <t>49.2</t>
  </si>
  <si>
    <t>COG1881@1|root,KOG3346@2759|Eukaryota,38E0A@33154|Opisthokonta,3BBRS@33208|Metazoa,3CX9I@33213|Bilateria</t>
  </si>
  <si>
    <t>MRPL38</t>
  </si>
  <si>
    <t>ko:K17419</t>
  </si>
  <si>
    <t>PBP</t>
  </si>
  <si>
    <t>mRpL39 (mRpL5)</t>
  </si>
  <si>
    <t>mRpL40</t>
  </si>
  <si>
    <t>mRpL41</t>
  </si>
  <si>
    <t>mRpL42</t>
  </si>
  <si>
    <t>mRpL43</t>
  </si>
  <si>
    <t>evm.model.ptg000041l_1.586</t>
  </si>
  <si>
    <t>45351.EDO49536</t>
  </si>
  <si>
    <t>4.6e-25</t>
  </si>
  <si>
    <t>81.9</t>
  </si>
  <si>
    <t>KOG3445@1|root,KOG3445@2759|Eukaryota,3A1PQ@33154|Opisthokonta,3BQB6@33208|Metazoa</t>
  </si>
  <si>
    <t>MRPL43</t>
  </si>
  <si>
    <t>ko:K17424</t>
  </si>
  <si>
    <t>L51_S25_CI-B8</t>
  </si>
  <si>
    <t>mRpL44</t>
  </si>
  <si>
    <t>evm.model.ptg000010l_1.703</t>
  </si>
  <si>
    <t>9986.ENSOCUP00000011645</t>
  </si>
  <si>
    <t>6.5e-08</t>
  </si>
  <si>
    <t>COG0571@1|root,KOG3769@2759|Eukaryota,39S4P@33154|Opisthokonta,3BIUN@33208|Metazoa,3D2H0@33213|Bilateria,487WH@7711|Chordata,4991W@7742|Vertebrata,3J47B@40674|Mammalia,35GKH@314146|Euarchontoglires</t>
  </si>
  <si>
    <t>double-stranded RNA-specific ribonuclease activity</t>
  </si>
  <si>
    <t>MRPL44</t>
  </si>
  <si>
    <t>GO:0000313,GO:0000315,GO:0003674,GO:0003676,GO:0003723,GO:0003725,GO:0003735,GO:0003824,GO:0004518,GO:0004519,GO:0004521,GO:0004525,GO:0004540,GO:0005198,GO:0005488,GO:0005575,GO:0005622,GO:0005623,GO:0005634,GO:0005737,GO:0005739,GO:0005740,GO:0005743,GO:0005759,GO:0005761,GO:0005762,GO:0005840,GO:0005886,GO:0006139,GO:0006396,GO:0006412,GO:0006414,GO:0006415,GO:0006518,GO:0006725,GO:0006807,GO:0008150,GO:0008152,GO:0009058,GO:0009059,GO:0009987,GO:0010467,GO:0015934,GO:0016020,GO:0016043,GO:0016070,GO:0016787,GO:0016788,GO:0016891,GO:0016893,GO:0019538,GO:0019866,GO:0022411,GO:0031090,GO:0031966,GO:0031967,GO:0031974,GO:0031975,GO:0032296,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0046483,GO:0070013,GO:0070125,GO:0070126,GO:0071704,GO:0071840,GO:0071944,GO:0090304,GO:0090305,GO:0090501,GO:0090502,GO:0097159,GO:0098798,GO:0140053,GO:0140098,GO:1901360,GO:1901363,GO:1901564,GO:1901566,GO:1901576,GO:1990904</t>
  </si>
  <si>
    <t>ko:K17425,ko:K20301</t>
  </si>
  <si>
    <t>br01610,ko00000,ko01000,ko03011,ko04131</t>
  </si>
  <si>
    <t>mRpL45</t>
  </si>
  <si>
    <t>mRpL46</t>
  </si>
  <si>
    <t>evm.model.ptg000044l_1.719</t>
  </si>
  <si>
    <t>69319.XP_008550756.1</t>
  </si>
  <si>
    <t>5.4e-24</t>
  </si>
  <si>
    <t>78.2</t>
  </si>
  <si>
    <t>KOG4548@1|root,KOG4548@2759|Eukaryota,39WAE@33154|Opisthokonta,3BKV3@33208|Metazoa,3CU5E@33213|Bilateria,41ZE4@6656|Arthropoda,3SMUQ@50557|Insecta,46M48@7399|Hymenoptera</t>
  </si>
  <si>
    <t>ribosomal protein L46</t>
  </si>
  <si>
    <t>MRPL46</t>
  </si>
  <si>
    <t>GO:0000313,GO:0000315,GO:0003674,GO:0003735,GO:0005198,GO:0005575,GO:0005622,GO:0005623,GO:0005634,GO:0005654,GO:0005737,GO:0005739,GO:0005740,GO:0005743,GO:0005759,GO:0005761,GO:0005762,GO:0005840,GO:0006412,GO:0006414,GO:0006415,GO:0006518,GO:0006807,GO:0008150,GO:0008152,GO:0009058,GO:0009059,GO:0009987,GO:0010467,GO:0015934,GO:0016020,GO:0016043,GO:0019538,GO:0019866,GO:0022411,GO:0030054,GO:0031090,GO:0031966,GO:0031967,GO:0031974,GO:0031975,GO:0031981,GO:0032543,GO:0032984,GO:0032991,GO:0034641,GO:0034645,GO:0043043,GO:0043170,GO:0043226,GO:0043227,GO:0043228,GO:0043229,GO:0043231,GO:0043232,GO:0043233,GO:0043603,GO:0043604,GO:0043624,GO:0043933,GO:0044237,GO:0044238,GO:0044249,GO:0044260,GO:0044267,GO:0044271,GO:0044391,GO:0044422,GO:0044424,GO:0044428,GO:0044429,GO:0044444,GO:0044446,GO:0044464,GO:0070013,GO:0070125,GO:0070126,GO:0071704,GO:0071840,GO:0098798,GO:0140053,GO:1901564,GO:1901566,GO:1901576,GO:1990904</t>
  </si>
  <si>
    <t>ko:K17427</t>
  </si>
  <si>
    <t>MRP-L46,NUDIX</t>
  </si>
  <si>
    <t>mRpL47 (Rlc1)</t>
  </si>
  <si>
    <t>evm.model.ptg000010l_1.274</t>
  </si>
  <si>
    <t>9978.XP_004591381.1</t>
  </si>
  <si>
    <t>5.1e-31</t>
  </si>
  <si>
    <t>101.6</t>
  </si>
  <si>
    <t>KOG3331@1|root,KOG3331@2759|Eukaryota,39RQ9@33154|Opisthokonta,3BAE2@33208|Metazoa,3CYSN@33213|Bilateria,48662@7711|Chordata,492NU@7742|Vertebrata,3J9YZ@40674|Mammalia,35KQB@314146|Euarchontoglires</t>
  </si>
  <si>
    <t>MRPL47</t>
  </si>
  <si>
    <t>ko:K17428</t>
  </si>
  <si>
    <t>MRP-L47</t>
  </si>
  <si>
    <t>mRpL48</t>
  </si>
  <si>
    <t>mRpL49</t>
  </si>
  <si>
    <t>mRpL50</t>
  </si>
  <si>
    <t>evm.model.ptg000012l_1.1635</t>
  </si>
  <si>
    <t>9601.ENSPPYP00000021795</t>
  </si>
  <si>
    <t>4.2e-16</t>
  </si>
  <si>
    <t>2BVFW@1|root,2S27V@2759|Eukaryota,3A3T9@33154|Opisthokonta,3BRRB@33208|Metazoa,3D8A0@33213|Bilateria,48E4S@7711|Chordata,49B3H@7742|Vertebrata,3JGJK@40674|Mammalia,35PWF@314146|Euarchontoglires,4MJAY@9443|Primates,4N3TH@9604|Hominidae</t>
  </si>
  <si>
    <t>Ribosomal subunit 39S</t>
  </si>
  <si>
    <t>MRPL50</t>
  </si>
  <si>
    <t>GO:0000313,GO:0000315,GO:0005575,GO:0005622,GO:0005623,GO:0005737,GO:0005739,GO:0005740,GO:0005743,GO:0005759,GO:0005761,GO:0005762,GO:0005840,GO:0006412,GO:0006414,GO:0006415,GO:0006518,GO:0006807,GO:0008150,GO:0008152,GO:0009058,GO:0009059,GO:0009987,GO:0010467,GO:0015934,GO:0016020,GO:0016043,GO:0019538,GO:0019866,GO:0022411,GO:0031090,GO:0031966,GO:0031967,GO:0031974,GO:0031975,GO:0032543,GO:0032984,GO:0032991,GO:0034641,GO:0034645,GO:0043043,GO:0043170,GO:0043226,GO:0043227,GO:0043228,GO:0043229,GO:0043231,GO:0043232,GO:0043233,GO:0043603,GO:0043604,GO:0043624,GO:0043933,GO:0044237,GO:0044238,GO:0044249,GO:0044260,GO:0044267,GO:0044271,GO:0044391,GO:0044422,GO:0044424,GO:0044429,GO:0044444,GO:0044446,GO:0044464,GO:0070013,GO:0070125,GO:0070126,GO:0071704,GO:0071840,GO:0098798,GO:0140053,GO:1901564,GO:1901566,GO:1901576,GO:1990904</t>
  </si>
  <si>
    <t>ko:K17431</t>
  </si>
  <si>
    <t>Ribosomal_L50</t>
  </si>
  <si>
    <t>mRpL51</t>
  </si>
  <si>
    <t>mRpL52</t>
  </si>
  <si>
    <t>evm.model.ptg000016l_1.1272</t>
  </si>
  <si>
    <t>400682.PAC_15710453</t>
  </si>
  <si>
    <t>7.5e-12</t>
  </si>
  <si>
    <t>37.0</t>
  </si>
  <si>
    <t>2CW4K@1|root,2S4I0@2759|Eukaryota,3A3SR@33154|Opisthokonta,3BS9W@33208|Metazoa</t>
  </si>
  <si>
    <t>MRPL52</t>
  </si>
  <si>
    <t>ko:K17433</t>
  </si>
  <si>
    <t>mRpL53</t>
  </si>
  <si>
    <t>mRpL54</t>
  </si>
  <si>
    <t>evm.model.ptg000006l_1.47</t>
  </si>
  <si>
    <t>9031.ENSGALP00000042566</t>
  </si>
  <si>
    <t>1.8e-13</t>
  </si>
  <si>
    <t>44.0</t>
  </si>
  <si>
    <t>KOG3435@1|root,KOG3435@2759|Eukaryota,3A8DC@33154|Opisthokonta,3BUGP@33208|Metazoa,3D9JT@33213|Bilateria,48ECX@7711|Chordata,49B6P@7742|Vertebrata,4GVD9@8782|Aves</t>
  </si>
  <si>
    <t>ribosomal protein L54</t>
  </si>
  <si>
    <t>MRPL54</t>
  </si>
  <si>
    <t>ko:K17435</t>
  </si>
  <si>
    <t>Ribosomal_L37</t>
  </si>
  <si>
    <t>mRpL55 (tom thumb, tmb)</t>
  </si>
  <si>
    <t>evm.model.ptg000009l_1.132</t>
  </si>
  <si>
    <t>45351.EDO46966</t>
  </si>
  <si>
    <t>4.4e-14</t>
  </si>
  <si>
    <t>43.1</t>
  </si>
  <si>
    <t>KOG4616@1|root,KOG4616@2759|Eukaryota,3A86V@33154|Opisthokonta,3BTYG@33208|Metazoa</t>
  </si>
  <si>
    <t>ribosomal protein, L55</t>
  </si>
  <si>
    <t>MRPL55</t>
  </si>
  <si>
    <t>ko:K17436</t>
  </si>
  <si>
    <t>Mitoc_L55</t>
  </si>
  <si>
    <t>mt:lrRNA (mtlrRNA, 16S, lrRNA, 16S rRNA, 16SrRNA)</t>
  </si>
  <si>
    <r>
      <rPr>
        <rFont val="Arial"/>
        <b/>
        <color theme="1"/>
      </rPr>
      <t xml:space="preserve">Nuclear genes involved in the replication and translation of the mitochondrial genome in nuclear genome of </t>
    </r>
    <r>
      <rPr>
        <rFont val="Arial"/>
        <b/>
        <i/>
        <color theme="1"/>
      </rPr>
      <t>H. glomerosa</t>
    </r>
  </si>
  <si>
    <r>
      <rPr>
        <rFont val="Arial"/>
        <b/>
        <i/>
        <color rgb="FF0000FF"/>
      </rPr>
      <t>Heteropia glomerosa</t>
    </r>
    <r>
      <rPr>
        <rFont val="Arial"/>
        <b/>
        <color rgb="FF0000FF"/>
      </rPr>
      <t xml:space="preserve"> genome</t>
    </r>
  </si>
  <si>
    <t>Gene name</t>
  </si>
  <si>
    <t>Protein name</t>
  </si>
  <si>
    <t>Especification</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</si>
  <si>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</si>
  <si>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</si>
  <si>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</si>
  <si>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</si>
  <si>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</si>
  <si>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</si>
  <si>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</si>
  <si>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</si>
  <si>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</si>
  <si>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</si>
  <si>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</si>
  <si>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</si>
  <si>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</si>
  <si>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</si>
  <si>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</si>
  <si>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</si>
  <si>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</si>
  <si>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</si>
  <si>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</si>
  <si>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</si>
  <si>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</si>
  <si>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MRPS14</t>
  </si>
  <si>
    <t>28S ribosomal protein S14</t>
  </si>
  <si>
    <t>mitochondrial</t>
  </si>
  <si>
    <t>ERAL1</t>
  </si>
  <si>
    <t>GTPase Era</t>
  </si>
  <si>
    <t>evm.model.ptg000048l_1.264</t>
  </si>
  <si>
    <t>109478.XP_005876947.1</t>
  </si>
  <si>
    <t>1.5e-19</t>
  </si>
  <si>
    <t>63.8</t>
  </si>
  <si>
    <t>COG1159@1|root,KOG1423@2759|Eukaryota,39S0I@33154|Opisthokonta,3BJ0J@33208|Metazoa,3CYG8@33213|Bilateria,47ZIG@7711|Chordata,49273@7742|Vertebrata,3J937@40674|Mammalia,4KVTJ@9397|Chiroptera</t>
  </si>
  <si>
    <t>DT</t>
  </si>
  <si>
    <t>12S mitochondrial rRNA chaperone 1</t>
  </si>
  <si>
    <t>GO:0000028,GO:0003674,GO:0003676,GO:0003723,GO:0005488,GO:0005575,GO:0005622,GO:0005623,GO:0005737,GO:0005739,GO:0005740,GO:0005743,GO:0005759,GO:0005829,GO:0006412,GO:0006414,GO:0006415,GO:0006518,GO:0006807,GO:0006996,GO:0008150,GO:0008152,GO:0009058,GO:0009059,GO:0009987,GO:0010467,GO:0016020,GO:0016043,GO:0019538,GO:0019843,GO:0019866,GO:0022411,GO:0022607,GO:0022613,GO:0022618,GO:0031090,GO:0031966,GO:0031967,GO:0031974,GO:0031975,GO:0032543,GO:0032984,GO:0034622,GO:0034641,GO:0034645,GO:0042254,GO:0042255,GO:0042274,GO:0043021,GO:0043024,GO:0043043,GO:0043170,GO:0043226,GO:0043227,GO:0043229,GO:0043231,GO:0043233,GO:0043603,GO:0043604,GO:0043624,GO:0043933,GO:0044085,GO:0044237,GO:0044238,GO:0044249,GO:0044260,GO:0044267,GO:0044271,GO:0044422,GO:0044424,GO:0044429,GO:0044444,GO:0044446,GO:0044464,GO:0044877,GO:0065003,GO:0070013,GO:0070125,GO:0070126,GO:0070925,GO:0071704,GO:0071826,GO:0071840,GO:0097159,GO:0140053,GO:1901363,GO:1901564,GO:1901566,GO:1901576</t>
  </si>
  <si>
    <t>ko:K03595</t>
  </si>
  <si>
    <t>ko00000,ko03009,ko03029</t>
  </si>
  <si>
    <t>KH_2,MMR_HSR1</t>
  </si>
  <si>
    <t>28S ribosomal protein S33</t>
  </si>
  <si>
    <t>ABCE1</t>
  </si>
  <si>
    <t>ATP-binding cassette sub-family E member 1</t>
  </si>
  <si>
    <t>evm.model.ptg000007l_1.2296</t>
  </si>
  <si>
    <t>7918.ENSLOCP00000010856</t>
  </si>
  <si>
    <t>2.2e-250</t>
  </si>
  <si>
    <t>826.9</t>
  </si>
  <si>
    <t>COG1245@1|root,KOG0063@2759|Eukaryota,38BGA@33154|Opisthokonta,3BCRT@33208|Metazoa,3CVEM@33213|Bilateria,47Z6M@7711|Chordata,48Z8Z@7742|Vertebrata,49UQ7@7898|Actinopterygii</t>
  </si>
  <si>
    <t>A</t>
  </si>
  <si>
    <t>ATP-binding cassette, sub-family E</t>
  </si>
  <si>
    <t>GO:0000054,GO:0000166,GO:0000956,GO:0001558,GO:0001959,GO:0002682,GO:0003674,GO:0004857,GO:0005488,GO:0005506,GO:0005515,GO:0005524,GO:0005575,GO:0005622,GO:0005623,GO:0005737,GO:0005739,GO:0005759,GO:0005829,GO:0006139,GO:0006401,GO:0006402,GO:0006403,GO:0006405,GO:0006412,GO:0006413,GO:0006415,GO:0006518,GO:0006611,GO:0006725,GO:0006807,GO:0006810,GO:0006886,GO:0006913,GO:0006996,GO:0008104,GO:0008144,GO:0008150,GO:0008152,GO:0008428,GO:0009056,GO:0009057,GO:0009058,GO:0009059,GO:0009892,GO:0009966,GO:0009987,GO:0010467,GO:0010468,GO:0010605,GO:0010629,GO:0010646,GO:0010941,GO:0015031,GO:0015833,GO:0015931,GO:0016043,GO:0016070,GO:0016071,GO:0017076,GO:0019219,GO:0019222,GO:0019439,GO:0019538,GO:0022411,GO:0022613,GO:0023051,GO:0030234,GO:0030554,GO:0031323,GO:0031324,GO:0031347,GO:0031369,GO:0031503,GO:0031974,GO:0032069,GO:0032074,GO:0032553,GO:0032555,GO:0032559,GO:0032790,GO:0032984,GO:0032988,GO:0033036,GO:0033750,GO:0034613,GO:0034641,GO:0034645,GO:0034655,GO:0035639,GO:0036094,GO:0040008,GO:0042254,GO:0042886,GO:0042981,GO:0043021,GO:0043024,GO:0043043,GO:0043066,GO:0043067,GO:0043069,GO:0043086,GO:0043167,GO:0043168,GO:0043169,GO:0043170,GO:0043226,GO:0043227,GO:0043229,GO:0043231,GO:0043233,GO:0043523,GO:0043524,GO:0043603,GO:0043604,GO:0043624,GO:0043933,GO:0044085,GO:0044092,GO:0044237,GO:0044238,GO:0044248,GO:0044249,GO:0044260,GO:0044265,GO:0044267,GO:0044270,GO:0044271,GO:0044422,GO:0044424,GO:0044429,GO:0044444,GO:0044446,GO:0044464,GO:0044877,GO:0045088,GO:0045184,GO:0045934,GO:0046483,GO:0046700,GO:0046872,GO:0046907,GO:0046914,GO:0048519,GO:0048523,GO:0048583,GO:0050657,GO:0050658,GO:0050776,GO:0050789,GO:0050790,GO:0050794,GO:0051128,GO:0051168,GO:0051169,GO:0051171,GO:0051172,GO:0051179,GO:0051234,GO:0051236,GO:0051252,GO:0051253,GO:0051336,GO:0051346,GO:0051640,GO:0051641,GO:0051649,GO:0051656,GO:0060255,GO:0060338,GO:0060548,GO:0060698,GO:0060699,GO:0060700,GO:0060701,GO:0060702,GO:0060759,GO:0065007,GO:0065009,GO:0070013,GO:0070481,GO:0070727,GO:0071166,GO:0071426,GO:0071428,GO:0071702,GO:0071704,GO:0071705,GO:0071826,GO:0071840,GO:0080090,GO:0080134,GO:0090304,GO:0097159,GO:0097367,GO:0098772,GO:1901214,GO:1901215,GO:1901265,GO:1901360,GO:1901361,GO:1901363,GO:1901564,GO:1901566,GO:1901575,GO:1901576,GO:1903008</t>
  </si>
  <si>
    <t>ko:K06174</t>
  </si>
  <si>
    <t>ko00000,ko03009</t>
  </si>
  <si>
    <t>ABC_tran,Fer4,RLI</t>
  </si>
  <si>
    <t>28S ribosomal protein S16</t>
  </si>
  <si>
    <t>MTRF1L</t>
  </si>
  <si>
    <t>peptide chain release factor 1-like</t>
  </si>
  <si>
    <t>mitochondrial isoform 4</t>
  </si>
  <si>
    <t>MRPS5</t>
  </si>
  <si>
    <t>28S ribosomal protein S5</t>
  </si>
  <si>
    <t>39S ribosomal protein L12</t>
  </si>
  <si>
    <t>MRPL41</t>
  </si>
  <si>
    <t>39S ribosomal protein L41</t>
  </si>
  <si>
    <t>POLRMT</t>
  </si>
  <si>
    <t>DNA-directed RNA polymerase</t>
  </si>
  <si>
    <t>mitochondrial precursor</t>
  </si>
  <si>
    <t>evm.model.ptg000005l_1.2203</t>
  </si>
  <si>
    <t>7739.XP_002610004.1</t>
  </si>
  <si>
    <t>1.1e-81</t>
  </si>
  <si>
    <t>268.3</t>
  </si>
  <si>
    <t>COG5108@1|root,KOG1038@2759|Eukaryota,38EAY@33154|Opisthokonta,3B9IU@33208|Metazoa,3CT0T@33213|Bilateria,485S9@7711|Chordata</t>
  </si>
  <si>
    <t>K</t>
  </si>
  <si>
    <t>mitochondrial transcription</t>
  </si>
  <si>
    <t>GO:0000428,GO:0000959,GO:0003674,GO:0003676,GO:0003677,GO:0003824,GO:0003899,GO:0005488,GO:0005575,GO:0005622,GO:0005623,GO:0005737,GO:0005739,GO:0005759,GO:0006139,GO:0006351,GO:0006352,GO:0006390,GO:0006391,GO:0006725,GO:0006807,GO:0006996,GO:0007005,GO:0008150,GO:0008152,GO:0009058,GO:0009059,GO:0009295,GO:0009987,GO:0010467,GO:0016043,GO:0016070,GO:0016740,GO:0016772,GO:0016779,GO:0018130,GO:0019438,GO:0030880,GO:0031974,GO:0032774,GO:0032991,GO:0034062,GO:0034245,GO:0034641,GO:0034645,GO:0034654,GO:0042645,GO:0043170,GO:0043226,GO:0043227,GO:0043228,GO:0043229,GO:0043231,GO:0043232,GO:0043233,GO:0043565,GO:0044237,GO:0044238,GO:0044249,GO:0044260,GO:0044271,GO:0044422,GO:0044424,GO:0044429,GO:0044444,GO:0044446,GO:0044464,GO:0046483,GO:0061695,GO:0070013,GO:0071704,GO:0071840,GO:0090304,GO:0097159,GO:0097659,GO:0097747,GO:0098798,GO:0140053,GO:0140098,GO:1901360,GO:1901362,GO:1901363,GO:1901576,GO:1902494,GO:1990234</t>
  </si>
  <si>
    <t>2.7.11.1,2.7.7.6</t>
  </si>
  <si>
    <t>ko:K10908,ko:K16310</t>
  </si>
  <si>
    <t>ko00000,ko01000,ko01001,ko03029</t>
  </si>
  <si>
    <t>RNA_pol,RPOL_N</t>
  </si>
  <si>
    <t>28S ribosomal protein S35</t>
  </si>
  <si>
    <t>mitochondrial isoform 2 precursor</t>
  </si>
  <si>
    <t>AIFM1</t>
  </si>
  <si>
    <t>apoptosis-inducing factor 1</t>
  </si>
  <si>
    <t>mitochondrial isoform 1 precursor</t>
  </si>
  <si>
    <t>evm.model.ptg000024l_1.106</t>
  </si>
  <si>
    <t>6500.XP_005112513.1</t>
  </si>
  <si>
    <t>1.1e-93</t>
  </si>
  <si>
    <t>307.8</t>
  </si>
  <si>
    <t>COG0446@1|root,KOG1346@2759|Eukaryota,38F7B@33154|Opisthokonta,3BEQX@33208|Metazoa,3CSRH@33213|Bilateria</t>
  </si>
  <si>
    <t>T</t>
  </si>
  <si>
    <t>apoptosis-inducing factor</t>
  </si>
  <si>
    <t>GO:0000166,GO:0000302,GO:0000737,GO:0001101,GO:0002931,GO:0003674,GO:0003676,GO:0003677,GO:0003824,GO:0004174,GO:0005488,GO:0005515,GO:0005575,GO:0005622,GO:0005623,GO:0005634,GO:0005737,GO:0005739,GO:0005740,GO:0005741,GO:0005743,GO:0005758,GO:0005829,GO:0006091,GO:0006119,GO:0006139,GO:0006163,GO:0006259,GO:0006308,GO:0006309,GO:0006323,GO:0006725,GO:0006753,GO:0006793,GO:0006796,GO:0006807,GO:0006915,GO:0006919,GO:0006921,GO:0006950,GO:0006952,GO:0006979,GO:0006996,GO:0007005,GO:0007154,GO:0007165,GO:0007275,GO:0007399,GO:0007584,GO:0008150,GO:0008152,GO:0008219,GO:0008637,GO:0009055,GO:0009056,GO:0009057,GO:0009117,GO:0009123,GO:0009126,GO:0009141,GO:0009144,GO:0009150,GO:0009161,GO:0009167,GO:0009199,GO:0009205,GO:0009259,GO:0009605,GO:0009607,GO:0009620,GO:0009628,GO:0009636,GO:0009719,GO:0009725,GO:0009893,GO:0009894,GO:0009987,GO:0009991,GO:0010033,GO:0010035,GO:0010243,GO:0010257,GO:0010604,GO:0010623,GO:0010941,GO:0010942,GO:0010950,GO:0010952,GO:0012501,GO:0014070,GO:0015980,GO:0016020,GO:0016043,GO:0016174,GO:0016310,GO:0016491,GO:0016645,GO:0016649,GO:0016651,GO:0017144,GO:0019219,GO:0019222,GO:0019439,GO:0019637,GO:0019693,GO:0019866,GO:0019867,GO:0019899,GO:0022008,GO:0022411,GO:0022607,GO:0022900,GO:0022904,GO:0023052,GO:0030154,GO:0030162,GO:0030182,GO:0030261,GO:0030262,GO:0031090,GO:0031323,GO:0031325,GO:0031329,GO:0031667,GO:0031668,GO:0031669,GO:0031960,GO:0031966,GO:0031967,GO:0031968,GO:0031970,GO:0031974,GO:0031975,GO:0032268,GO:0032270,GO:0032355,GO:0032368,GO:0032370,GO:0032409,GO:0032411,GO:0032501,GO:0032502,GO:0032870,GO:0032879,GO:0032981,GO:0033108,GO:0033554,GO:0033993,GO:0034599,GO:0034614,GO:0034622,GO:0034641,GO:0034655,GO:0034976,GO:0035556,GO:0035690,GO:0036094,GO:0036293,GO:0036294,GO:0042221,GO:0042493,GO:0042542,GO:0042773,GO:0042775,GO:0042981,GO:0043065,GO:0043067,GO:0043068,GO:0043085,GO:0043167,GO:0043168,GO:0043170,GO:0043200,GO:0043207,GO:0043226,GO:0043227,GO:0043229,GO:0043231,GO:0043233,GO:0043269,GO:0043270,GO:0043280,GO:0043281,GO:0043523,GO:0043525,GO:0043933,GO:0044070,GO:0044085,GO:0044093,GO:0044237,GO:0044238,GO:0044248,GO:0044260,GO:0044265,GO:0044270,GO:0044281,GO:0044422,GO:0044424,GO:0044429,GO:0044444,GO:0044446,GO:0044464,GO:0045333,GO:0045862,GO:0046034,GO:0046483,GO:0046677,GO:0046700,GO:0048037,GO:0048468,GO:0048471,GO:0048518,GO:0048522,GO:0048545,GO:0048699,GO:0048731,GO:0048856,GO:0048869,GO:0050660,GO:0050662,GO:0050664,GO:0050789,GO:0050790,GO:0050794,GO:0050832,GO:0050896,GO:0051049,GO:0051050,GO:0051052,GO:0051128,GO:0051130,GO:0051171,GO:0051173,GO:0051246,GO:0051247,GO:0051276,GO:0051336,GO:0051345,GO:0051385,GO:0051402,GO:0051704,GO:0051707,GO:0051716,GO:0052547,GO:0052548,GO:0055086,GO:0055114,GO:0060255,GO:0061024,GO:0065003,GO:0065007,GO:0065008,GO:0065009,GO:0070013,GO:0070059,GO:0070301,GO:0070482,GO:0070887,GO:0070997,GO:0071103,GO:0071236,GO:0071241,GO:0071310,GO:0071383,GO:0071384,GO:0071389,GO:0071392,GO:0071396,GO:0071407,GO:0071453,GO:0071495,GO:0071496,GO:0071704,GO:0071731,GO:0071732,GO:0071840,GO:0071949,GO:0072521,GO:0080090,GO:0090304,GO:0090305,GO:0090649,GO:0090650,GO:0097035,GO:0097159,GO:0097190,GO:0097193,GO:0097194,GO:0097237,GO:0097305,GO:0097306,GO:0097366,GO:0098542,GO:0098588,GO:0098805,GO:0110096,GO:1900117,GO:1900119,GO:1900161,GO:1900163,GO:1901135,GO:1901214,GO:1901216,GO:1901265,GO:1901360,GO:1901361,GO:1901363,GO:1901564,GO:1901575,GO:1901654,GO:1901655,GO:1901698,GO:1901699,GO:1901700,GO:1901701,GO:1902065,GO:1902170,GO:1902510,GO:1903624,GO:1903729,GO:1903793,GO:1904044,GO:1904045,GO:1905780,GO:1905782,GO:1905952,GO:1905954,GO:2000116,GO:2001056,GO:2001138,GO:2001140</t>
  </si>
  <si>
    <t>ko:K04727</t>
  </si>
  <si>
    <t>ko04210,ko04214,ko04217,map04210,map04214,map04217</t>
  </si>
  <si>
    <t>ko00000,ko00001,ko01000</t>
  </si>
  <si>
    <t>AIF-MLS,AIF_C,Pyr_redox_2</t>
  </si>
  <si>
    <t>evm.model.ptg000024l_1.108</t>
  </si>
  <si>
    <t>7668.SPU_025954-tr</t>
  </si>
  <si>
    <t>1.1e-107</t>
  </si>
  <si>
    <t>352.1</t>
  </si>
  <si>
    <t>MRPS25</t>
  </si>
  <si>
    <t>28S ribosomal protein S25</t>
  </si>
  <si>
    <t>MTIF2</t>
  </si>
  <si>
    <t>translation initiation factor IF-2</t>
  </si>
  <si>
    <t>evm.model.ptg000019l_1.398</t>
  </si>
  <si>
    <t>6334.EFV59029</t>
  </si>
  <si>
    <t>2.4e-39</t>
  </si>
  <si>
    <t>129.0</t>
  </si>
  <si>
    <t>COG0258@1|root,COG0532@1|root,KOG4548@1|root,KOG1145@2759|Eukaryota,KOG2518@2759|Eukaryota,KOG4548@2759|Eukaryota,38DYA@33154|Opisthokonta,3BFK9@33208|Metazoa,3D0N1@33213|Bilateria,40AVG@6231|Nematoda</t>
  </si>
  <si>
    <t>Translation-initiation factor 2</t>
  </si>
  <si>
    <t>GO:0000049,GO:0003674,GO:0003676,GO:0003723,GO:0003743,GO:0003824,GO:0003924,GO:0005488,GO:0005575,GO:0005622,GO:0005623,GO:0005634,GO:0005654,GO:0005737,GO:0005739,GO:0005759,GO:0006412,GO:0006413,GO:0006417,GO:0006446,GO:0006518,GO:0006807,GO:0006996,GO:0008135,GO:0008150,GO:0008152,GO:0009058,GO:0009059,GO:0009889,GO:0009987,GO:0010467,GO:0010468,GO:0010556,GO:0010608,GO:0016043,GO:0016462,GO:0016787,GO:0016817,GO:0016818,GO:0017111,GO:0019222,GO:0019538,GO:0022411,GO:0031323,GO:0031326,GO:0031974,GO:0031981,GO:0032268,GO:0032543,GO:0032790,GO:0032984,GO:0032988,GO:0034248,GO:0034641,GO:0034645,GO:0043021,GO:0043024,GO:0043043,GO:0043170,GO:0043226,GO:0043227,GO:0043229,GO:0043231,GO:0043233,GO:0043603,GO:0043604,GO:0043933,GO:0044237,GO:0044238,GO:0044249,GO:0044260,GO:0044267,GO:0044271,GO:0044422,GO:0044424,GO:0044428,GO:0044429,GO:0044444,GO:0044446,GO:0044464,GO:0044877,GO:0050789,GO:0050794,GO:0051171,GO:0051246,GO:0060255,GO:0065007,GO:0070013,GO:0070124,GO:0071704,GO:0071826,GO:0071840,GO:0080090,GO:0097159,GO:0140053,GO:1901363,GO:1901564,GO:1901566,GO:1901576,GO:1903008,GO:2000112</t>
  </si>
  <si>
    <t>ko:K02519</t>
  </si>
  <si>
    <t>ko00000,ko03012,ko03029</t>
  </si>
  <si>
    <t>GTP_EFTU,IF-2</t>
  </si>
  <si>
    <t>evm.model.ptg000019l_1.399</t>
  </si>
  <si>
    <t>135651.CBN24211</t>
  </si>
  <si>
    <t>439.7</t>
  </si>
  <si>
    <t>COG0532@1|root,KOG1145@2759|Eukaryota,38DYA@33154|Opisthokonta,3BFK9@33208|Metazoa,3D0N1@33213|Bilateria,40AVG@6231|Nematoda,1KXV3@119089|Chromadorea,40XWA@6236|Rhabditida</t>
  </si>
  <si>
    <t>39S ribosomal protein L13</t>
  </si>
  <si>
    <t>ELAC2</t>
  </si>
  <si>
    <t>zinc phosphodiesterase ELAC protein 2 isoform 3</t>
  </si>
  <si>
    <t>evm.model.ptg000012l_1.1579</t>
  </si>
  <si>
    <t>9361.ENSDNOP00000003269</t>
  </si>
  <si>
    <t>8.7e-09</t>
  </si>
  <si>
    <t>29.0</t>
  </si>
  <si>
    <t>COG1234@1|root,KOG2121@2759|Eukaryota,38D9A@33154|Opisthokonta,3BA6A@33208|Metazoa,3CSCA@33213|Bilateria,48B2R@7711|Chordata,48ZN1@7742|Vertebrata,3JAK9@40674|Mammalia</t>
  </si>
  <si>
    <t>mitochondrial tRNA 3'-trailer cleavage, endonucleolytic</t>
  </si>
  <si>
    <t>GO:0000003,GO:0000394,GO:0000959,GO:0000963,GO:0001558,GO:0002119,GO:0002164,GO:0003006,GO:0003674,GO:0003824,GO:0004518,GO:0004519,GO:0004521,GO:0004540,GO:0004549,GO:0005575,GO:0005622,GO:0005623,GO:0005634,GO:0005654,GO:0005737,GO:0005739,GO:0005759,GO:0005829,GO:0006139,GO:0006388,GO:0006396,GO:0006397,GO:0006399,GO:0006417,GO:0006725,GO:0006807,GO:0007049,GO:0007275,GO:0007276,GO:0007281,GO:0008033,GO:0008150,GO:0008152,GO:0008283,GO:0008380,GO:0009295,GO:0009791,GO:0009889,GO:0009891,GO:0009893,GO:0009987,GO:0010467,GO:0010468,GO:0010556,GO:0010557,GO:0010604,GO:0010608,GO:0010628,GO:0016070,GO:0016071,GO:0016787,GO:0016788,GO:0016891,GO:0016893,GO:0019222,GO:0019953,GO:0022412,GO:0022414,GO:0030154,GO:0030307,GO:0031123,GO:0031323,GO:0031325,GO:0031326,GO:0031328,GO:0031426,GO:0031974,GO:0031981,GO:0032268,GO:0032270,GO:0032501,GO:0032502,GO:0032504,GO:0034248,GO:0034250,GO:0034414,GO:0034470,GO:0034641,GO:0034660,GO:0036093,GO:0040008,GO:0040026,GO:0040028,GO:0042645,GO:0042779,GO:0042780,GO:0042781,GO:0043170,GO:0043226,GO:0043227,GO:0043228,GO:0043229,GO:0043231,GO:0043232,GO:0043233,GO:0043628,GO:0044237,GO:0044238,GO:0044422,GO:0044424,GO:0044428,GO:0044429,GO:0044444,GO:0044446,GO:0044464,GO:0044703,GO:0045727,GO:0045927,GO:0046483,GO:0048468,GO:0048518,GO:0048522,GO:0048580,GO:0048582,GO:0048609,GO:0048856,GO:0048869,GO:0050789,GO:0050793,GO:0050794,GO:0051094,GO:0051128,GO:0051171,GO:0051173,GO:0051239,GO:0051240,GO:0051246,GO:0051247,GO:0051321,GO:0051704,GO:0060255,GO:0061062,GO:0061063,GO:0065007,GO:0070013,GO:0071704,GO:0072684,GO:0080090,GO:0090304,GO:0090305,GO:0090501,GO:0090502,GO:0090615,GO:0090646,GO:0140040,GO:0140053,GO:0140098,GO:0140101,GO:1901360,GO:1902375,GO:1905267,GO:2000026,GO:2000112</t>
  </si>
  <si>
    <t>3.1.26.11</t>
  </si>
  <si>
    <t>ko:K00784</t>
  </si>
  <si>
    <t>ko03013,map03013</t>
  </si>
  <si>
    <t>ko00000,ko00001,ko01000,ko03016</t>
  </si>
  <si>
    <t>Lactamase_B_2,Lactamase_B_4</t>
  </si>
  <si>
    <t>evm.model.ptg000012l_1.1583</t>
  </si>
  <si>
    <t>126957.SMAR007552-PA</t>
  </si>
  <si>
    <t>5.7e-08</t>
  </si>
  <si>
    <t>COG1234@1|root,KOG2121@2759|Eukaryota,38D9A@33154|Opisthokonta,3BA6A@33208|Metazoa,3CSCA@33213|Bilateria,41W7R@6656|Arthropoda</t>
  </si>
  <si>
    <t>It is involved in the biological process described with tRNA processing</t>
  </si>
  <si>
    <t>evm.model.ptg000012l_1.1584</t>
  </si>
  <si>
    <t>3.3e-28</t>
  </si>
  <si>
    <t>92.2</t>
  </si>
  <si>
    <t>evm.model.ptg000012l_1.1585</t>
  </si>
  <si>
    <t>2.6e-10</t>
  </si>
  <si>
    <t>33.6</t>
  </si>
  <si>
    <t>TFB1M</t>
  </si>
  <si>
    <t>dimethyladenosine transferase 1</t>
  </si>
  <si>
    <t>evm.model.ptg000005l_1.1968</t>
  </si>
  <si>
    <t>32507.XP_006800687.1</t>
  </si>
  <si>
    <t>7.4e-77</t>
  </si>
  <si>
    <t>252.2</t>
  </si>
  <si>
    <t>COG0030@1|root,KOG0821@2759|Eukaryota,38EES@33154|Opisthokonta,3BFPQ@33208|Metazoa,3CSHS@33213|Bilateria,48A1F@7711|Chordata,4940N@7742|Vertebrata,49UD3@7898|Actinopterygii</t>
  </si>
  <si>
    <t>Belongs to the class I-like SAM-binding methyltransferase superfamily. rRNA adenine N(6)-methyltransferase family</t>
  </si>
  <si>
    <t>GO:0000154,GO:0000179,GO:0000959,GO:0001510,GO:0003674,GO:0003712,GO:0003824,GO:0005575,GO:0005622,GO:0005623,GO:0005737,GO:0005739,GO:0005759,GO:0006139,GO:0006351,GO:0006364,GO:0006390,GO:0006396,GO:0006417,GO:0006725,GO:0006807,GO:0006996,GO:0007005,GO:0008150,GO:0008152,GO:0008168,GO:0008170,GO:0008173,GO:0008649,GO:0008757,GO:0009058,GO:0009059,GO:0009295,GO:0009451,GO:0009889,GO:0009987,GO:0010467,GO:0010468,GO:0010556,GO:0010608,GO:0016043,GO:0016070,GO:0016072,GO:0016433,GO:0016740,GO:0016741,GO:0018130,GO:0019219,GO:0019222,GO:0019438,GO:0022613,GO:0031167,GO:0031323,GO:0031326,GO:0031974,GO:0032259,GO:0032268,GO:0032774,GO:0034248,GO:0034470,GO:0034641,GO:0034645,GO:0034654,GO:0034660,GO:0042254,GO:0042645,GO:0043170,GO:0043226,GO:0043227,GO:0043228,GO:0043229,GO:0043231,GO:0043232,GO:0043233,GO:0043412,GO:0043414,GO:0044085,GO:0044237,GO:0044238,GO:0044249,GO:0044260,GO:0044271,GO:0044422,GO:0044424,GO:0044429,GO:0044444,GO:0044446,GO:0044464,GO:0046483,GO:0050789,GO:0050794,GO:0051171,GO:0051246,GO:0051252,GO:0060255,GO:0065007,GO:0070013,GO:0071704,GO:0071840,GO:0080090,GO:0090304,GO:0097659,GO:0140053,GO:0140098,GO:0140102,GO:0140110,GO:1901360,GO:1901362,GO:1901576,GO:1903506,GO:2000112,GO:2001141</t>
  </si>
  <si>
    <t>ko:K15266</t>
  </si>
  <si>
    <t>ko00000,ko01000,ko03009,ko03029</t>
  </si>
  <si>
    <t>RrnaAD</t>
  </si>
  <si>
    <t>PRODH</t>
  </si>
  <si>
    <t>proline dehydrogenase 1</t>
  </si>
  <si>
    <t>evm.model.ptg000042l_1.154</t>
  </si>
  <si>
    <t>6500.XP_005106173.1</t>
  </si>
  <si>
    <t>6.2e-35</t>
  </si>
  <si>
    <t>114.4</t>
  </si>
  <si>
    <t>COG0506@1|root,KOG0186@2759|Eukaryota,38DGW@33154|Opisthokonta,3BAYH@33208|Metazoa,3CXCV@33213|Bilateria</t>
  </si>
  <si>
    <t>E</t>
  </si>
  <si>
    <t>proline dehydrogenase activity</t>
  </si>
  <si>
    <t>GO:0000166,GO:0003674,GO:0003824,GO:0004657,GO:0005488,GO:0005575,GO:0005622,GO:0005623,GO:0005737,GO:0005739,GO:0005740,GO:0005743,GO:0005759,GO:0006082,GO:0006520,GO:0006536,GO:0006537,GO:0006560,GO:0006562,GO:0006575,GO:0006807,GO:0006915,GO:0006950,GO:0006979,GO:0007154,GO:0007165,GO:0007610,GO:0007626,GO:0008150,GO:0008152,GO:0008219,GO:0008631,GO:0008652,GO:0009056,GO:0009058,GO:0009063,GO:0009064,GO:0009065,GO:0009084,GO:0009314,GO:0009416,GO:0009453,GO:0009605,GO:0009628,GO:0009987,GO:0010133,GO:0010941,GO:0010942,GO:0012501,GO:0016020,GO:0016053,GO:0016054,GO:0016491,GO:0016597,GO:0016645,GO:0019470,GO:0019471,GO:0019752,GO:0019866,GO:0023052,GO:0031090,GO:0031406,GO:0031966,GO:0031967,GO:0031974,GO:0031975,GO:0033554,GO:0034599,GO:0035556,GO:0036094,GO:0036473,GO:0040011,GO:0042219,GO:0042221,GO:0042330,GO:0042331,GO:0043167,GO:0043168,GO:0043177,GO:0043226,GO:0043227,GO:0043229,GO:0043231,GO:0043233,GO:0043436,GO:0043648,GO:0043650,GO:0044237,GO:0044238,GO:0044248,GO:0044249,GO:0044281,GO:0044282,GO:0044283,GO:0044422,GO:0044424,GO:0044429,GO:0044444,GO:0044446,GO:0044464,GO:0046394,GO:0046395,GO:0046483,GO:0046700,GO:0048037,GO:0048518,GO:0048522,GO:0050660,GO:0050662,GO:0050789,GO:0050794,GO:0050896,GO:0051716,GO:0055114,GO:0065007,GO:0070013,GO:0070887,GO:0071704,GO:0071949,GO:0097159,GO:0097190,GO:0097193,GO:1901265,GO:1901360,GO:1901361,GO:1901363,GO:1901564,GO:1901565,GO:1901566,GO:1901575,GO:1901576,GO:1901605,GO:1901606,GO:1901607</t>
  </si>
  <si>
    <t>1.5.5.3</t>
  </si>
  <si>
    <t>ko:K00318,ko:K11394</t>
  </si>
  <si>
    <t>ko00330,ko01100,ko01110,ko01130,map00330,map01100,map01110,map01130</t>
  </si>
  <si>
    <t>R03295,R10507</t>
  </si>
  <si>
    <t>RC00054,RC00083</t>
  </si>
  <si>
    <t>Pro_dh</t>
  </si>
  <si>
    <t>evm.model.ptg000009l_1.401</t>
  </si>
  <si>
    <t>9601.ENSPPYP00000013433</t>
  </si>
  <si>
    <t>5.7e-133</t>
  </si>
  <si>
    <t>437.7</t>
  </si>
  <si>
    <t>COG0506@1|root,KOG0186@2759|Eukaryota,38DGW@33154|Opisthokonta,3BAYH@33208|Metazoa,3CXCV@33213|Bilateria,483WD@7711|Chordata,48VCC@7742|Vertebrata,3JDUG@40674|Mammalia,35DNF@314146|Euarchontoglires,4MEMP@9443|Primates,4N2I6@9604|Hominidae</t>
  </si>
  <si>
    <t>C</t>
  </si>
  <si>
    <t>ko:K00318</t>
  </si>
  <si>
    <t>R10507</t>
  </si>
  <si>
    <t>RC00083</t>
  </si>
  <si>
    <t>MRPL2</t>
  </si>
  <si>
    <t>39S ribosomal protein L2</t>
  </si>
  <si>
    <t>mitochondrial isoform 2</t>
  </si>
  <si>
    <t>MRPL16</t>
  </si>
  <si>
    <t>39S ribosomal protein L16</t>
  </si>
  <si>
    <t>TRMT10C</t>
  </si>
  <si>
    <t>mitochondrial ribonuclease P protein 1 precursor</t>
  </si>
  <si>
    <t>28S ribosomal protein S2</t>
  </si>
  <si>
    <t>TUFM</t>
  </si>
  <si>
    <t>elongation factor Tu</t>
  </si>
  <si>
    <t>ENDOG</t>
  </si>
  <si>
    <t>endonuclease G</t>
  </si>
  <si>
    <t>MRPS15</t>
  </si>
  <si>
    <t>28S ribosomal protein S15</t>
  </si>
  <si>
    <t>39S ribosomal protein L15</t>
  </si>
  <si>
    <t>39S ribosomal protein L22</t>
  </si>
  <si>
    <t>mitochondrial isoform a</t>
  </si>
  <si>
    <t>RPUSD1</t>
  </si>
  <si>
    <t>tRNA pseudouridine synthase A</t>
  </si>
  <si>
    <t>POLG</t>
  </si>
  <si>
    <t>DNA polymerase subunit gamma-1</t>
  </si>
  <si>
    <t>evm.model.ptg000015l_1.358</t>
  </si>
  <si>
    <t>7739.XP_002601587.1</t>
  </si>
  <si>
    <t>6.6e-41</t>
  </si>
  <si>
    <t>133.9</t>
  </si>
  <si>
    <t>COG0749@1|root,KOG3657@2759|Eukaryota,38B9M@33154|Opisthokonta,3BDZA@33208|Metazoa,3CX5W@33213|Bilateria,481AX@7711|Chordata</t>
  </si>
  <si>
    <t>L</t>
  </si>
  <si>
    <t>mitochondrial DNA replication</t>
  </si>
  <si>
    <t>GO:0000002,GO:0000003,GO:0000731,GO:0001678,GO:0002020,GO:0003006,GO:0003008,GO:0003674,GO:0003682,GO:0003824,GO:0003887,GO:0004518,GO:0004527,GO:0005488,GO:0005515,GO:0005575,GO:0005622,GO:0005623,GO:0005737,GO:0005739,GO:0005759,GO:0005760,GO:0006139,GO:0006259,GO:0006260,GO:0006261,GO:0006264,GO:0006281,GO:0006284,GO:0006287,GO:0006298,GO:0006725,GO:0006807,GO:0006810,GO:0006928,GO:0006950,GO:0006974,GO:0006996,GO:0007005,GO:0007017,GO:0007018,GO:0007275,GO:0007548,GO:0007562,GO:0007568,GO:0007588,GO:0008088,GO:0008150,GO:0008152,GO:0008340,GO:0008406,GO:0008408,GO:0009058,GO:0009059,GO:0009295,GO:0009314,GO:0009416,GO:0009628,GO:0009743,GO:0009746,GO:0009749,GO:0009987,GO:0010033,GO:0010212,GO:0010259,GO:0010332,GO:0010970,GO:0016043,GO:0016740,GO:0016772,GO:0016779,GO:0016787,GO:0016788,GO:0018130,GO:0019438,GO:0019725,GO:0019896,GO:0019899,GO:0022414,GO:0030421,GO:0030424,GO:0030705,GO:0031974,GO:0032042,GO:0032501,GO:0032502,GO:0032991,GO:0033267,GO:0033500,GO:0033554,GO:0034061,GO:0034284,GO:0034641,GO:0034643,GO:0034645,GO:0034654,GO:0036296,GO:0042221,GO:0042575,GO:0042592,GO:0042593,GO:0042645,GO:0042995,GO:0043005,GO:0043170,GO:0043195,GO:0043226,GO:0043227,GO:0043228,GO:0043229,GO:0043231,GO:0043232,GO:0043233,GO:0043679,GO:0044237,GO:0044238,GO:0044249,GO:0044260,GO:0044271,GO:0044306,GO:0044422,GO:0044424,GO:0044429,GO:0044444,GO:0044446,GO:0044456,GO:0044463,GO:0044464,GO:0045137,GO:0045202,GO:0046483,GO:0046907,GO:0047497,GO:0048513,GO:0048608,GO:0048731,GO:0048856,GO:0048878,GO:0050896,GO:0051179,GO:0051234,GO:0051640,GO:0051641,GO:0051646,GO:0051649,GO:0051654,GO:0051656,GO:0051716,GO:0055082,GO:0055093,GO:0061458,GO:0061695,GO:0065007,GO:0065008,GO:0070013,GO:0070482,GO:0070887,GO:0071310,GO:0071322,GO:0071326,GO:0071331,GO:0071333,GO:0071684,GO:0071704,GO:0071840,GO:0071897,GO:0072384,GO:0090304,GO:0090305,GO:0097458,GO:0098793,GO:0098798,GO:0098930,GO:0099111,GO:0120025,GO:0120038,GO:0140097,GO:0150034,GO:1901360,GO:1901362,GO:1901576,GO:1901700,GO:1901701,GO:1902494,GO:1990234</t>
  </si>
  <si>
    <t>2.7.7.7</t>
  </si>
  <si>
    <t>ko:K02332</t>
  </si>
  <si>
    <t>ko01100,ko04139,map01100,map04139</t>
  </si>
  <si>
    <t>M00294</t>
  </si>
  <si>
    <t>ko00000,ko00001,ko00002,ko01000,ko03029,ko03032</t>
  </si>
  <si>
    <t>DNA_pol_A</t>
  </si>
  <si>
    <t>evm.model.ptg000015l_1.360</t>
  </si>
  <si>
    <t>3.1e-86</t>
  </si>
  <si>
    <t>282.6</t>
  </si>
  <si>
    <t>evm.model.ptg000015l_1.363</t>
  </si>
  <si>
    <t>10224.XP_006815395.1</t>
  </si>
  <si>
    <t>3.5e-33</t>
  </si>
  <si>
    <t>108.5</t>
  </si>
  <si>
    <t>COG0749@1|root,KOG3657@2759|Eukaryota,38B9M@33154|Opisthokonta,3BDZA@33208|Metazoa,3CX5W@33213|Bilateria</t>
  </si>
  <si>
    <t>evm.model.ptg000015l_1.364</t>
  </si>
  <si>
    <t>31033.ENSTRUP00000000907</t>
  </si>
  <si>
    <t>3.2e-54</t>
  </si>
  <si>
    <t>178.2</t>
  </si>
  <si>
    <t>COG0749@1|root,KOG3657@2759|Eukaryota,38B9M@33154|Opisthokonta,3BDZA@33208|Metazoa,3CX5W@33213|Bilateria,481AX@7711|Chordata,493N1@7742|Vertebrata,4A2D2@7898|Actinopterygii</t>
  </si>
  <si>
    <t>Polymerase (DNA directed), gamma</t>
  </si>
  <si>
    <t>MRPL49</t>
  </si>
  <si>
    <t>39S ribosomal protein L49</t>
  </si>
  <si>
    <t>MRPS18B</t>
  </si>
  <si>
    <t>28S ribosomal protein S18b</t>
  </si>
  <si>
    <t>GFM1</t>
  </si>
  <si>
    <t>elongation factor G</t>
  </si>
  <si>
    <t>evm.model.ptg000016l_1.959</t>
  </si>
  <si>
    <t>7091.BGIBMGA006144-TA</t>
  </si>
  <si>
    <t>6.6e-296</t>
  </si>
  <si>
    <t>977.0</t>
  </si>
  <si>
    <t>COG0480@1|root,KOG0465@2759|Eukaryota,38GUI@33154|Opisthokonta,3BDKN@33208|Metazoa,3CX6E@33213|Bilateria,41W0X@6656|Arthropoda,3SIAE@50557|Insecta,443TE@7088|Lepidoptera</t>
  </si>
  <si>
    <t>Elongation Factor G, domain II</t>
  </si>
  <si>
    <t>GO:0003674,GO:0003676,GO:0003723,GO:0003746,GO:0003824,GO:0003924,GO:0005488,GO:0005575,GO:0005622,GO:0005623,GO:0005634,GO:0005737,GO:0005739,GO:0005759,GO:0006412,GO:0006414,GO:0006518,GO:0006807,GO:0008135,GO:0008150,GO:0008152,GO:0009058,GO:0009059,GO:0009987,GO:0010467,GO:0016462,GO:0016787,GO:0016817,GO:0016818,GO:0017111,GO:0019538,GO:0031974,GO:0032543,GO:0034641,GO:0034645,GO:0043043,GO:0043170,GO:0043226,GO:0043227,GO:0043229,GO:0043231,GO:0043233,GO:0043603,GO:0043604,GO:0044237,GO:0044238,GO:0044249,GO:0044260,GO:0044267,GO:0044271,GO:0044422,GO:0044424,GO:0044429,GO:0044444,GO:0044446,GO:0044464,GO:0070013,GO:0070125,GO:0071704,GO:0097159,GO:0140053,GO:1901363,GO:1901564,GO:1901566,GO:1901576</t>
  </si>
  <si>
    <t>ko:K02355</t>
  </si>
  <si>
    <t>EFG_C,EFG_II,EFG_IV,GTP_EFTU,GTP_EFTU_D2</t>
  </si>
  <si>
    <t>MRPL11</t>
  </si>
  <si>
    <t>39S ribosomal protein L11</t>
  </si>
  <si>
    <t>mitochondrial isoform b</t>
  </si>
  <si>
    <t>39S ribosomal protein L19</t>
  </si>
  <si>
    <t>MRPS6</t>
  </si>
  <si>
    <t>28S ribosomal protein S6</t>
  </si>
  <si>
    <t>MRPS24</t>
  </si>
  <si>
    <t>28S ribosomal protein S24</t>
  </si>
  <si>
    <t>39S ribosomal protein L38</t>
  </si>
  <si>
    <t>39S ribosomal protein L37</t>
  </si>
  <si>
    <t>28S ribosomal protein S18a</t>
  </si>
  <si>
    <t>28S ribosomal protein S12</t>
  </si>
  <si>
    <t>39S ribosomal protein L3</t>
  </si>
  <si>
    <t>EXOG</t>
  </si>
  <si>
    <t>oligoribonuclease</t>
  </si>
  <si>
    <t>evm.model.ptg000019l_1.974</t>
  </si>
  <si>
    <t>7739.XP_002591915.1</t>
  </si>
  <si>
    <t>4.1e-63</t>
  </si>
  <si>
    <t>205.9</t>
  </si>
  <si>
    <t>COG1864@1|root,KOG3721@2759|Eukaryota,38E5K@33154|Opisthokonta,3BHC8@33208|Metazoa,3CX58@33213|Bilateria,482YZ@7711|Chordata</t>
  </si>
  <si>
    <t>F</t>
  </si>
  <si>
    <t>Endo exonuclease (5'-3'), endonuclease G-like</t>
  </si>
  <si>
    <t>GO:0003674,GO:0003824,GO:0004518,GO:0004519,GO:0004527,GO:0005575,GO:0005622,GO:0005623,GO:0005737,GO:0005739,GO:0005740,GO:0005743,GO:0006139,GO:0006725,GO:0006807,GO:0008150,GO:0008152,GO:0008409,GO:0009987,GO:0016020,GO:0016787,GO:0016788,GO:0019866,GO:0031090,GO:0031966,GO:0031967,GO:0031975,GO:0032991,GO:0034641,GO:0043170,GO:0043226,GO:0043227,GO:0043229,GO:0043231,GO:0044237,GO:0044238,GO:0044422,GO:0044424,GO:0044429,GO:0044444,GO:0044446,GO:0044464,GO:0046483,GO:0071704,GO:0090304,GO:0090305,GO:1901360</t>
  </si>
  <si>
    <t>ko:K01173,ko:K15050</t>
  </si>
  <si>
    <t>ko04210,map04210</t>
  </si>
  <si>
    <t>ko00000,ko00001,ko03029</t>
  </si>
  <si>
    <t>Endonuclease_NS</t>
  </si>
  <si>
    <t>evm.model.ptg000019l_1.978</t>
  </si>
  <si>
    <t>7739.XP_002591916.1</t>
  </si>
  <si>
    <t>39S ribosomal protein L23</t>
  </si>
  <si>
    <t>TACO1</t>
  </si>
  <si>
    <t>translational activator of cytochrome c oxidase 1</t>
  </si>
  <si>
    <t>evm.model.ptg000016l_1.129</t>
  </si>
  <si>
    <t>7994.ENSAMXP00000000264</t>
  </si>
  <si>
    <t>5.3e-10</t>
  </si>
  <si>
    <t>33.2</t>
  </si>
  <si>
    <t>COG0217@1|root,KOG2972@2759|Eukaryota,39TM7@33154|Opisthokonta,3BE3M@33208|Metazoa,3D3JH@33213|Bilateria,48A3V@7711|Chordata,4937P@7742|Vertebrata,49VPY@7898|Actinopterygii</t>
  </si>
  <si>
    <t>Translational activator of mitochondrially encoded cytochrome c oxidase I</t>
  </si>
  <si>
    <t>GO:0005575,GO:0005622,GO:0005623,GO:0005634,GO:0005737,GO:0005739,GO:0043226,GO:0043227,GO:0043229,GO:0043231,GO:0044424,GO:0044444,GO:0044464</t>
  </si>
  <si>
    <t>ko:K18189</t>
  </si>
  <si>
    <t>Transcrip_reg</t>
  </si>
  <si>
    <t>MRPL14</t>
  </si>
  <si>
    <t>39S ribosomal protein L14</t>
  </si>
  <si>
    <t>MRPL20</t>
  </si>
  <si>
    <t>39S ribosomal protein L20</t>
  </si>
  <si>
    <t>MRPL28</t>
  </si>
  <si>
    <t>39S ribosomal protein L28</t>
  </si>
  <si>
    <t>MTFMT</t>
  </si>
  <si>
    <t>methionyl-tRNA formyltransferase</t>
  </si>
  <si>
    <t>evm.model.ptg000050l_1.647</t>
  </si>
  <si>
    <t>8496.XP_006275726.1</t>
  </si>
  <si>
    <t>2.5e-35</t>
  </si>
  <si>
    <t>115.3</t>
  </si>
  <si>
    <t>COG0223@1|root,KOG3082@2759|Eukaryota,38GNB@33154|Opisthokonta,3BEGR@33208|Metazoa,3CWI9@33213|Bilateria,48A7S@7711|Chordata,48WUV@7742|Vertebrata</t>
  </si>
  <si>
    <t>methionyl-tRNA formyltransferase activity</t>
  </si>
  <si>
    <t>GO:0003674,GO:0003824,GO:0004479,GO:0005575,GO:0005622,GO:0005623,GO:0005737,GO:0005739,GO:0005759,GO:0006139,GO:0006396,GO:0006399,GO:0006400,GO:0006412,GO:0006413,GO:0006464,GO:0006518,GO:0006725,GO:0006807,GO:0008033,GO:0008150,GO:0008152,GO:0009058,GO:0009059,GO:0009451,GO:0009987,GO:0010467,GO:0016070,GO:0016740,GO:0016741,GO:0016742,GO:0019538,GO:0019988,GO:0031974,GO:0034470,GO:0034641,GO:0034645,GO:0034660,GO:0036211,GO:0043043,GO:0043170,GO:0043226,GO:0043227,GO:0043229,GO:0043231,GO:0043233,GO:0043412,GO:0043603,GO:0043604,GO:0044237,GO:0044238,GO:0044249,GO:0044260,GO:0044267,GO:0044271,GO:0044422,GO:0044424,GO:0044429,GO:0044444,GO:0044446,GO:0044464,GO:0046483,GO:0070013,GO:0071704,GO:0071951,GO:0090304,GO:0140098,GO:0140101,GO:1901360,GO:1901564,GO:1901566,GO:1901576</t>
  </si>
  <si>
    <t>2.1.2.9</t>
  </si>
  <si>
    <t>ko:K00604</t>
  </si>
  <si>
    <t>ko00670,ko00970,map00670,map00970</t>
  </si>
  <si>
    <t>R03940</t>
  </si>
  <si>
    <t>RC00026,RC00165</t>
  </si>
  <si>
    <t>Formyl_trans_C,Formyl_trans_N</t>
  </si>
  <si>
    <t>39S ribosomal protein L17</t>
  </si>
  <si>
    <t>39S ribosomal protein L21</t>
  </si>
  <si>
    <t>28S ribosomal protein S22</t>
  </si>
  <si>
    <t>39S ribosomal protein L4</t>
  </si>
  <si>
    <t>28S ribosomal protein S10</t>
  </si>
  <si>
    <t>NOA1</t>
  </si>
  <si>
    <t>nitric oxide-associated protein 1</t>
  </si>
  <si>
    <t>evm.model.ptg000016l_1.1047</t>
  </si>
  <si>
    <t>43151.ADAC003330-PA</t>
  </si>
  <si>
    <t>3.4e-56</t>
  </si>
  <si>
    <t>184.4</t>
  </si>
  <si>
    <t>COG1161@1|root,KOG1249@2759|Eukaryota,38EJ1@33154|Opisthokonta,3BADT@33208|Metazoa,3CYYU@33213|Bilateria,41WTW@6656|Arthropoda,3SJB1@50557|Insecta,450WU@7147|Diptera,45GPA@7148|Nematocera</t>
  </si>
  <si>
    <t>50S ribosome-binding GTPase</t>
  </si>
  <si>
    <t>GO:0000166,GO:0001882,GO:0001883,GO:0003674,GO:0003824,GO:0003924,GO:0005488,GO:0005525,GO:0005575,GO:0005622,GO:0005623,GO:0005737,GO:0005739,GO:0005740,GO:0005743,GO:0006412,GO:0006518,GO:0006807,GO:0008150,GO:0008152,GO:0009058,GO:0009059,GO:0009987,GO:0010467,GO:0010941,GO:0016020,GO:0016462,GO:0016787,GO:0016817,GO:0016818,GO:0017076,GO:0017111,GO:0019001,GO:0019222,GO:0019538,GO:0019866,GO:0022613,GO:0031090,GO:0031323,GO:0031966,GO:0031967,GO:0031975,GO:0032543,GO:0032549,GO:0032550,GO:0032553,GO:0032555,GO:0032561,GO:0034641,GO:0034645,GO:0035639,GO:0036094,GO:0042254,GO:0043043,GO:0043167,GO:0043168,GO:0043170,GO:0043226,GO:0043227,GO:0043229,GO:0043231,GO:0043457,GO:0043467,GO:0043603,GO:0043604,GO:0044085,GO:0044237,GO:0044238,GO:0044249,GO:0044260,GO:0044267,GO:0044271,GO:0044422,GO:0044424,GO:0044429,GO:0044444,GO:0044446,GO:0044464,GO:0050789,GO:0050794,GO:0065007,GO:0071704,GO:0071840,GO:0097159,GO:0097367,GO:0140053,GO:1901265,GO:1901363,GO:1901564,GO:1901566,GO:1901576</t>
  </si>
  <si>
    <t>ko:K19832</t>
  </si>
  <si>
    <t>MMR_HSR1</t>
  </si>
  <si>
    <t>evm.model.ptg000016l_1.1048</t>
  </si>
  <si>
    <t>38654.XP_006027834.1</t>
  </si>
  <si>
    <t>1.4e-27</t>
  </si>
  <si>
    <t>89.9</t>
  </si>
  <si>
    <t>COG1161@1|root,KOG1249@2759|Eukaryota,38EJ1@33154|Opisthokonta,3BADT@33208|Metazoa,3CYYU@33213|Bilateria,482VQ@7711|Chordata,48WTV@7742|Vertebrata</t>
  </si>
  <si>
    <t>regulation of cellular respiration</t>
  </si>
  <si>
    <t>28S ribosomal protein S31</t>
  </si>
  <si>
    <t>TSFM</t>
  </si>
  <si>
    <t>elongation factor Ts</t>
  </si>
  <si>
    <t>evm.model.ptg000006l_1.406</t>
  </si>
  <si>
    <t>6183.Smp_148540.1</t>
  </si>
  <si>
    <t>6.3e-18</t>
  </si>
  <si>
    <t>58.5</t>
  </si>
  <si>
    <t>COG0264@1|root,KOG1071@2759|Eukaryota,38FEV@33154|Opisthokonta,3BG7C@33208|Metazoa,3CZNI@33213|Bilateria</t>
  </si>
  <si>
    <t>Associates with the EF-Tu.GDP complex and induces the exchange of GDP to GTP. It remains bound to the aminoacyl-tRNA.EF- Tu.GTP complex up to the GTP hydrolysis stage on the ribosome</t>
  </si>
  <si>
    <t>GO:0003674,GO:0003676,GO:0003723,GO:0003746,GO:0005488,GO:0005575,GO:0005622,GO:0005623,GO:0005634,GO:0005737,GO:0005739,GO:0005759,GO:0006355,GO:0006412,GO:0006414,GO:0006417,GO:0006518,GO:0006807,GO:0008135,GO:0008150,GO:0008152,GO:0009058,GO:0009059,GO:0009889,GO:0009987,GO:0010467,GO:0010468,GO:0010556,GO:0010608,GO:0019219,GO:0019222,GO:0019538,GO:0031323,GO:0031326,GO:0031974,GO:0032268,GO:0032543,GO:0032784,GO:0034248,GO:0034641,GO:0034645,GO:0043043,GO:0043170,GO:0043226,GO:0043227,GO:0043229,GO:0043231,GO:0043233,GO:0043603,GO:0043604,GO:0044237,GO:0044238,GO:0044249,GO:0044260,GO:0044267,GO:0044271,GO:0044422,GO:0044424,GO:0044429,GO:0044444,GO:0044446,GO:0044464,GO:0050789,GO:0050794,GO:0051171,GO:0051246,GO:0051252,GO:0060255,GO:0065007,GO:0070013,GO:0070125,GO:0070129,GO:0071704,GO:0080090,GO:0097159,GO:0140053,GO:1901363,GO:1901564,GO:1901566,GO:1901576,GO:1903506,GO:2000112,GO:2001141</t>
  </si>
  <si>
    <t>ko:K02357,ko:K21803</t>
  </si>
  <si>
    <t>ko00000,ko01000,ko03012,ko03029</t>
  </si>
  <si>
    <t>EF_TS</t>
  </si>
  <si>
    <t>28S ribosomal protein S18c</t>
  </si>
  <si>
    <t>39S ribosomal protein L18</t>
  </si>
  <si>
    <t>39S ribosomal protein L43</t>
  </si>
  <si>
    <t>mitochondrial isoform c</t>
  </si>
  <si>
    <t>MRPS21</t>
  </si>
  <si>
    <t>28S ribosomal protein S21</t>
  </si>
  <si>
    <t>MRPL24</t>
  </si>
  <si>
    <t>39S ribosomal protein L24</t>
  </si>
  <si>
    <t>MRPL27</t>
  </si>
  <si>
    <t>39S ribosomal protein L27</t>
  </si>
  <si>
    <t>28S ribosomal protein S9</t>
  </si>
  <si>
    <t>28S ribosomal protein S7</t>
  </si>
  <si>
    <t>MRPL58 (ICT1)</t>
  </si>
  <si>
    <t>peptidyl-tRNA hydrolase ICT1</t>
  </si>
  <si>
    <t>evm.model.ptg000005l_1.1742</t>
  </si>
  <si>
    <t>400682.PAC_15719853</t>
  </si>
  <si>
    <t>5.6e-28</t>
  </si>
  <si>
    <t>91.2</t>
  </si>
  <si>
    <t>COG1186@1|root,KOG3429@2759|Eukaryota,3A880@33154|Opisthokonta,3BQAM@33208|Metazoa</t>
  </si>
  <si>
    <t>translation release factor activity, codon nonspecific</t>
  </si>
  <si>
    <t>ICT1</t>
  </si>
  <si>
    <t>GO:0000313,GO:0000315,GO:0003674,GO:0003676,GO:0003723,GO:0003747,GO:0003824,GO:0004045,GO:0005488,GO:0005575,GO:0005622,GO:0005623,GO:0005737,GO:0005739,GO:0005740,GO:0005743,GO:0005759,GO:0005761,GO:0005762,GO:0005840,GO:0006412,GO:0006414,GO:0006415,GO:0006417,GO:0006518,GO:0006807,GO:0008079,GO:0008135,GO:0008150,GO:0008152,GO:0009058,GO:0009059,GO:0009889,GO:0009987,GO:0010467,GO:0010468,GO:0010556,GO:0010608,GO:0015934,GO:0016020,GO:0016043,GO:0016150,GO:0016787,GO:0016788,GO:0019222,GO:0019538,GO:0019866,GO:0022411,GO:0031090,GO:0031323,GO:0031326,GO:0031966,GO:0031967,GO:0031974,GO:0031975,GO:0032268,GO:0032543,GO:0032984,GO:0032991,GO:0034248,GO:0034641,GO:0034645,GO:0043043,GO:0043170,GO:0043226,GO:0043227,GO:0043228,GO:0043229,GO:0043231,GO:0043232,GO:0043233,GO:0043603,GO:0043604,GO:0043624,GO:0043933,GO:0044237,GO:0044238,GO:0044249,GO:0044260,GO:0044267,GO:0044271,GO:0044391,GO:0044422,GO:0044424,GO:0044429,GO:0044444,GO:0044446,GO:0044464,GO:0050789,GO:0050794,GO:0051171,GO:0051246,GO:0052689,GO:0060255,GO:0065007,GO:0070013,GO:0070125,GO:0070126,GO:0071704,GO:0071840,GO:0072344,GO:0080090,GO:0097159,GO:0098798,GO:0140053,GO:0140098,GO:0140101,GO:1901363,GO:1901564,GO:1901566,GO:1901576,GO:1990904,GO:2000112</t>
  </si>
  <si>
    <t>3.1.1.29</t>
  </si>
  <si>
    <t>ko:K15033</t>
  </si>
  <si>
    <t>ko00000,ko01000,ko03012</t>
  </si>
  <si>
    <t>RF-1</t>
  </si>
  <si>
    <t>evm.model.ptg000005l_1.1743</t>
  </si>
  <si>
    <t>7994.ENSAMXP00000016080</t>
  </si>
  <si>
    <t>1.3e-35</t>
  </si>
  <si>
    <t>115.7</t>
  </si>
  <si>
    <t>COG1186@1|root,KOG3429@2759|Eukaryota,3A880@33154|Opisthokonta,3BQAM@33208|Metazoa,3D1A8@33213|Bilateria,48C6W@7711|Chordata,495DT@7742|Vertebrata,4A3F1@7898|Actinopterygii</t>
  </si>
  <si>
    <t>Immature colon carcinoma transcript 1</t>
  </si>
  <si>
    <t>HSD17B10</t>
  </si>
  <si>
    <t>3-hydroxyacyl-CoA dehydrogenase type-2 isoform 1</t>
  </si>
  <si>
    <t>evm.model.ptg000030l_1.1470</t>
  </si>
  <si>
    <t>7176.CPIJ014286-PA</t>
  </si>
  <si>
    <t>2.9e-10</t>
  </si>
  <si>
    <t>KOG1199@1|root,KOG1199@2759|Eukaryota,38CCA@33154|Opisthokonta,3BD0V@33208|Metazoa,3CY8V@33213|Bilateria,41TTR@6656|Arthropoda,3SIZ9@50557|Insecta,452SZ@7147|Diptera,45GDF@7148|Nematocera</t>
  </si>
  <si>
    <t>Q</t>
  </si>
  <si>
    <t>Belongs to the short-chain dehydrogenases reductases (SDR) family</t>
  </si>
  <si>
    <t>GO:0000003,GO:0000049,GO:0000166,GO:0000959,GO:0000963,GO:0000964,GO:0000965,GO:0000966,GO:0001510,GO:0001540,GO:0002165,GO:0003006,GO:0003674,GO:0003676,GO:0003723,GO:0003824,GO:0003857,GO:0004303,GO:0005102,GO:0005488,GO:0005496,GO:0005515,GO:0005575,GO:0005622,GO:0005623,GO:0005737,GO:0005739,GO:0005759,GO:0005783,GO:0005829,GO:0005886,GO:0006066,GO:0006082,GO:0006139,GO:0006163,GO:0006396,GO:0006399,GO:0006400,GO:0006520,GO:0006629,GO:0006631,GO:0006637,GO:0006725,GO:0006732,GO:0006753,GO:0006790,GO:0006793,GO:0006796,GO:0006807,GO:0006996,GO:0007005,GO:0007275,GO:0007548,GO:0007568,GO:0007569,GO:0008033,GO:0008134,GO:0008150,GO:0008152,GO:0008202,GO:0008205,GO:0008209,GO:0008210,GO:0008289,GO:0008406,GO:0008584,GO:0008709,GO:0009056,GO:0009063,GO:0009081,GO:0009083,GO:0009117,GO:0009150,GO:0009259,GO:0009295,GO:0009451,GO:0009791,GO:0009987,GO:0010467,GO:0010817,GO:0012505,GO:0016020,GO:0016043,GO:0016054,GO:0016070,GO:0016125,GO:0016229,GO:0016491,GO:0016614,GO:0016616,GO:0018454,GO:0019637,GO:0019693,GO:0019752,GO:0022414,GO:0022607,GO:0030154,GO:0030283,GO:0030331,GO:0030488,GO:0030677,GO:0030678,GO:0031123,GO:0031974,GO:0032259,GO:0032501,GO:0032502,GO:0032787,GO:0032991,GO:0033218,GO:0033327,GO:0033764,GO:0033865,GO:0033875,GO:0034032,GO:0034470,GO:0034471,GO:0034641,GO:0034660,GO:0034754,GO:0035257,GO:0035258,GO:0035383,GO:0036094,GO:0042180,GO:0042277,GO:0042445,GO:0042645,GO:0042780,GO:0042802,GO:0043170,GO:0043226,GO:0043227,GO:0043228,GO:0043229,GO:0043231,GO:0043232,GO:0043233,GO:0043412,GO:0043414,GO:0043436,GO:0043603,GO:0043628,GO:0043933,GO:0044085,GO:0044237,GO:0044238,GO:0044248,GO:0044255,GO:0044260,GO:0044281,GO:0044282,GO:0044422,GO:0044424,GO:0044429,GO:0044444,GO:0044446,GO:0044464,GO:0045137,GO:0045455,GO:0046395,GO:0046483,GO:0046546,GO:0046661,GO:0047022,GO:0047035,GO:0048037,GO:0048513,GO:0048608,GO:0048731,GO:0048856,GO:0048869,GO:0050662,GO:0051186,GO:0051259,GO:0051260,GO:0051262,GO:0051287,GO:0051289,GO:0051427,GO:0055086,GO:0055114,GO:0061458,GO:0065003,GO:0065007,GO:0065008,GO:0070013,GO:0070525,GO:0070900,GO:0070901,GO:0071704,GO:0071840,GO:0071944,GO:0072521,GO:0090304,GO:0090646,GO:0097159,GO:0097745,GO:0098798,GO:0099116,GO:0140053,GO:1900864,GO:1901135,GO:1901265,GO:1901360,GO:1901363,GO:1901564,GO:1901565,GO:1901575,GO:1901615,GO:1902494,GO:1902555,GO:1902652,GO:1905348,GO:1990180,GO:1990904</t>
  </si>
  <si>
    <t>1.1.1.178,1.1.1.35</t>
  </si>
  <si>
    <t>ko:K08683</t>
  </si>
  <si>
    <t>ko00280,ko01100,ko01110,ko01130,ko05010,map00280,map01100,map01110,map01130,map05010</t>
  </si>
  <si>
    <t>R04203</t>
  </si>
  <si>
    <t>RC00525</t>
  </si>
  <si>
    <t>ko00000,ko00001,ko01000,ko03029,ko04147</t>
  </si>
  <si>
    <t>adh_short</t>
  </si>
  <si>
    <t>evm.model.ptg000044l_1.1409</t>
  </si>
  <si>
    <t>7897.ENSLACP00000017524</t>
  </si>
  <si>
    <t>4.5e-114</t>
  </si>
  <si>
    <t>373.7</t>
  </si>
  <si>
    <t>KOG1199@1|root,KOG1199@2759|Eukaryota,38CCA@33154|Opisthokonta,3BD0V@33208|Metazoa,3CY8V@33213|Bilateria,489QM@7711|Chordata,48V3P@7742|Vertebrata</t>
  </si>
  <si>
    <t>3-hydroxy-2-methylbutyryl-CoA dehydrogenase activity</t>
  </si>
  <si>
    <t>pentatricopeptide repeat domain-containing protein 3</t>
  </si>
  <si>
    <t>39S ribosomal protein L10</t>
  </si>
  <si>
    <t>28S ribosomal protein S30</t>
  </si>
  <si>
    <t>39S ribosomal protein L47</t>
  </si>
  <si>
    <t>PTCD1</t>
  </si>
  <si>
    <t>pentatricopeptide repeat-containing protein 1</t>
  </si>
  <si>
    <t>evm.model.ptg000007l_1.2057</t>
  </si>
  <si>
    <t>7668.SPU_010363-tr</t>
  </si>
  <si>
    <t>1.2e-05</t>
  </si>
  <si>
    <t>KOG4197@1|root,KOG4197@2759|Eukaryota,38DHC@33154|Opisthokonta,3BFSV@33208|Metazoa,3CZD4@33213|Bilateria</t>
  </si>
  <si>
    <t>tRNA 3'-end processing</t>
  </si>
  <si>
    <t>GO:0000049,GO:0003674,GO:0003676,GO:0003723,GO:0003824,GO:0004518,GO:0004519,GO:0005488,GO:0005575,GO:0005622,GO:0005623,GO:0005737,GO:0005739,GO:0005759,GO:0006139,GO:0006396,GO:0006399,GO:0006725,GO:0006807,GO:0008033,GO:0008150,GO:0008152,GO:0009451,GO:0009987,GO:0010467,GO:0016070,GO:0016787,GO:0016788,GO:0031123,GO:0031974,GO:0034470,GO:0034641,GO:0034660,GO:0042780,GO:0043170,GO:0043226,GO:0043227,GO:0043229,GO:0043231,GO:0043233,GO:0043412,GO:0043628,GO:0044237,GO:0044238,GO:0044422,GO:0044424,GO:0044429,GO:0044444,GO:0044446,GO:0044464,GO:0046483,GO:0070013,GO:0071704,GO:0090304,GO:0090305,GO:0097159,GO:1901360,GO:1901363</t>
  </si>
  <si>
    <t>ko:K02130,ko:K17710</t>
  </si>
  <si>
    <t>ko00190,ko01100,ko04714,map00190,map01100,map04714</t>
  </si>
  <si>
    <t>M00158</t>
  </si>
  <si>
    <t>ko00000,ko00001,ko00002,ko03016,ko03029</t>
  </si>
  <si>
    <t>3.A.2.1</t>
  </si>
  <si>
    <t>PPR,PPR_2,PPR_3</t>
  </si>
  <si>
    <t>evm.model.ptg000007l_1.2058</t>
  </si>
  <si>
    <t>45351.EDO48418</t>
  </si>
  <si>
    <t>3.9e-17</t>
  </si>
  <si>
    <t>55.3</t>
  </si>
  <si>
    <t>KOG4197@1|root,KOG4197@2759|Eukaryota,38DHC@33154|Opisthokonta,3BFSV@33208|Metazoa</t>
  </si>
  <si>
    <t>evm.model.ptg000042l_1.406</t>
  </si>
  <si>
    <t>8010.XP_010901420.1</t>
  </si>
  <si>
    <t>5.5e-08</t>
  </si>
  <si>
    <t>KOG4197@1|root,KOG4197@2759|Eukaryota,38DHC@33154|Opisthokonta,3BFSV@33208|Metazoa,3CZD4@33213|Bilateria,481F7@7711|Chordata,48YAU@7742|Vertebrata,49ZMU@7898|Actinopterygii</t>
  </si>
  <si>
    <t>Pentatricopeptide repeat domain 1</t>
  </si>
  <si>
    <t>39S ribosomal protein L44</t>
  </si>
  <si>
    <t>POLG2</t>
  </si>
  <si>
    <t>DNA polymerase subunit gamma-2</t>
  </si>
  <si>
    <t>SSBP1</t>
  </si>
  <si>
    <t>single-stranded DNA-binding protein</t>
  </si>
  <si>
    <t>39S ribosomal protein L50</t>
  </si>
  <si>
    <t>MRPL30</t>
  </si>
  <si>
    <t>MRPL48</t>
  </si>
  <si>
    <t>39S ribosomal protein L48</t>
  </si>
  <si>
    <t>MRPL51</t>
  </si>
  <si>
    <t>39S ribosomal protein L51</t>
  </si>
  <si>
    <t>39S ribosomal protein L52</t>
  </si>
  <si>
    <t>MRPL42</t>
  </si>
  <si>
    <t>39S ribosomal protein L42</t>
  </si>
  <si>
    <t>MRPS28</t>
  </si>
  <si>
    <t>28S ribosomal protein S28</t>
  </si>
  <si>
    <t>39S ribosomal protein L54</t>
  </si>
  <si>
    <t>MRPS29</t>
  </si>
  <si>
    <t>28S ribosomal protein S29</t>
  </si>
  <si>
    <t>mitochondrial isoform 3</t>
  </si>
  <si>
    <t>28S ribosomal protein S17</t>
  </si>
  <si>
    <t>39S ribosomal protein L46</t>
  </si>
  <si>
    <t>LARS2</t>
  </si>
  <si>
    <t>probable leucine--tRNA ligase</t>
  </si>
  <si>
    <t>evm.model.ptg000054l_1.222</t>
  </si>
  <si>
    <t>7994.ENSAMXP00000011300</t>
  </si>
  <si>
    <t>9.2e-192</t>
  </si>
  <si>
    <t>632.7</t>
  </si>
  <si>
    <t>COG0495@1|root,KOG0435@2759|Eukaryota,38GY5@33154|Opisthokonta,3BA6R@33208|Metazoa,3CZYB@33213|Bilateria,486RN@7711|Chordata,495R8@7742|Vertebrata,49SC1@7898|Actinopterygii</t>
  </si>
  <si>
    <t>leucyl-tRNA synthetase 2, mitochondrial</t>
  </si>
  <si>
    <t>GO:0003674,GO:0003824,GO:0004812,GO:0004823,GO:0005575,GO:0005622,GO:0005623,GO:0005737,GO:0005739,GO:0005759,GO:0006082,GO:0006139,GO:0006399,GO:0006412,GO:0006418,GO:0006429,GO:0006518,GO:0006520,GO:0006725,GO:0006807,GO:0008150,GO:0008152,GO:0009058,GO:0009059,GO:0009987,GO:0010467,GO:0016070,GO:0016874,GO:0016875,GO:0019538,GO:0019752,GO:0031974,GO:0032543,GO:0034641,GO:0034645,GO:0034660,GO:0043038,GO:0043039,GO:0043043,GO:0043170,GO:0043226,GO:0043227,GO:0043229,GO:0043231,GO:0043233,GO:0043436,GO:0043603,GO:0043604,GO:0044237,GO:0044238,GO:0044249,GO:0044260,GO:0044267,GO:0044271,GO:0044281,GO:0044422,GO:0044424,GO:0044429,GO:0044444,GO:0044446,GO:0044464,GO:0046483,GO:0070013,GO:0071704,GO:0090304,GO:0140053,GO:0140098,GO:0140101,GO:1901360,GO:1901564,GO:1901566,GO:1901576</t>
  </si>
  <si>
    <t>6.1.1.4</t>
  </si>
  <si>
    <t>ko:K01869</t>
  </si>
  <si>
    <t>ko00970,map00970</t>
  </si>
  <si>
    <t>M00359,M00360</t>
  </si>
  <si>
    <t>R03657</t>
  </si>
  <si>
    <t>RC00055,RC00523</t>
  </si>
  <si>
    <t>ko00000,ko00001,ko00002,ko01000,ko01007,ko03016,ko03029</t>
  </si>
  <si>
    <t>Anticodon_1,tRNA-synt_1,tRNA-synt_1_2</t>
  </si>
  <si>
    <t>MRPL39</t>
  </si>
  <si>
    <t>39S ribosomal protein L39</t>
  </si>
  <si>
    <t>MRPS26</t>
  </si>
  <si>
    <t>28S ribosomal protein S26</t>
  </si>
  <si>
    <t>39S ribosomal protein L1</t>
  </si>
  <si>
    <t>MRPL40</t>
  </si>
  <si>
    <t>39S ribosomal protein L40</t>
  </si>
  <si>
    <t>MRPL9</t>
  </si>
  <si>
    <t>39S ribosomal protein L9</t>
  </si>
  <si>
    <t>MRPS11</t>
  </si>
  <si>
    <t>28S ribosomal protein S11</t>
  </si>
  <si>
    <t>39S ribosomal protein L55</t>
  </si>
  <si>
    <t>TFAM</t>
  </si>
  <si>
    <t>transcription factor A</t>
  </si>
  <si>
    <t>evm.model.ptg000044l_1.1011</t>
  </si>
  <si>
    <t>128390.XP_009464362.1</t>
  </si>
  <si>
    <t>3.3e-14</t>
  </si>
  <si>
    <t>46.9</t>
  </si>
  <si>
    <t>COG5648@1|root,KOG0381@2759|Eukaryota,39THE@33154|Opisthokonta,3BFW6@33208|Metazoa,3D3BD@33213|Bilateria,4882D@7711|Chordata,4974H@7742|Vertebrata,4GHTR@8782|Aves</t>
  </si>
  <si>
    <t>GO:0000002,GO:0000228,GO:0000781,GO:0000784,GO:0000959,GO:0000988,GO:0001018,GO:0001067,GO:0001221,GO:0001223,GO:0003674,GO:0003676,GO:0003677,GO:0003682,GO:0003700,GO:0005488,GO:0005515,GO:0005575,GO:0005622,GO:0005623,GO:0005634,GO:0005694,GO:0005737,GO:0005739,GO:0005759,GO:0005829,GO:0006139,GO:0006259,GO:0006260,GO:0006261,GO:0006264,GO:0006351,GO:0006352,GO:0006355,GO:0006390,GO:0006391,GO:0006725,GO:0006807,GO:0006950,GO:0006979,GO:0006996,GO:0007005,GO:0008134,GO:0008150,GO:0008152,GO:0008301,GO:0009058,GO:0009059,GO:0009295,GO:0009889,GO:0009891,GO:0009893,GO:0009987,GO:0010467,GO:0010468,GO:0010556,GO:0010557,GO:0010604,GO:0010628,GO:0016043,GO:0016070,GO:0018130,GO:0019219,GO:0019222,GO:0019438,GO:0022607,GO:0031072,GO:0031323,GO:0031325,GO:0031326,GO:0031328,GO:0031974,GO:0031981,GO:0032042,GO:0032774,GO:0032991,GO:0033108,GO:0034246,GO:0034622,GO:0034641,GO:0034645,GO:0034654,GO:0042162,GO:0042645,GO:0042802,GO:0043170,GO:0043226,GO:0043227,GO:0043228,GO:0043229,GO:0043231,GO:0043232,GO:0043233,GO:0043565,GO:0043933,GO:0044085,GO:0044212,GO:0044237,GO:0044238,GO:0044249,GO:0044260,GO:0044271,GO:0044422,GO:0044424,GO:0044427,GO:0044428,GO:0044429,GO:0044444,GO:0044446,GO:0044454,GO:0044464,GO:0045893,GO:0045935,GO:0046483,GO:0048518,GO:0048522,GO:0050789,GO:0050794,GO:0050896,GO:0051171,GO:0051173,GO:0051252,GO:0051254,GO:0060255,GO:0065003,GO:0065007,GO:0070013,GO:0071704,GO:0071840,GO:0080090,GO:0090304,GO:0097159,GO:0097659,GO:0098687,GO:0140053,GO:0140110,GO:1901360,GO:1901362,GO:1901363,GO:1901576,GO:1902680,GO:1903506,GO:1903508,GO:2000112,GO:2001141</t>
  </si>
  <si>
    <t>ko:K11830</t>
  </si>
  <si>
    <t>ko04371,ko05016,map04371,map05016</t>
  </si>
  <si>
    <t>HMG_box,HMG_box_2</t>
  </si>
  <si>
    <t>MRPL35</t>
  </si>
  <si>
    <t>39S ribosomal protein L35</t>
  </si>
  <si>
    <t>QRSL1</t>
  </si>
  <si>
    <t>glutamyl-tRNA(Gln) amidotransferase subunit B</t>
  </si>
  <si>
    <t>39S ribosomal protein L32</t>
  </si>
  <si>
    <t>MRPL33</t>
  </si>
  <si>
    <t>39S ribosomal protein L33</t>
  </si>
  <si>
    <t>MRPL36</t>
  </si>
  <si>
    <t>39S ribosomal protein L36</t>
  </si>
  <si>
    <t>MRPL53</t>
  </si>
  <si>
    <t>39S ribosomal protein L53</t>
  </si>
  <si>
    <t>39S ribosomal protein L34</t>
  </si>
  <si>
    <t>28S ribosomal protein S23</t>
  </si>
  <si>
    <t>MRPL45</t>
  </si>
  <si>
    <t>39S ribosomal protein L45</t>
  </si>
  <si>
    <t>mitochondrial isoform 1</t>
  </si>
  <si>
    <t>MRPS34</t>
  </si>
  <si>
    <t>28S ribosomal protein S34</t>
  </si>
  <si>
    <t>MRPS27</t>
  </si>
  <si>
    <t>28S ribosomal protein S27</t>
  </si>
  <si>
    <t>evm.model.ptg000015l_1.223</t>
  </si>
  <si>
    <t>9555.ENSPANP00000000911</t>
  </si>
  <si>
    <t>4.2e-08</t>
  </si>
  <si>
    <t>KOG4570@1|root,KOG4570@2759|Eukaryota,38HXS@33154|Opisthokonta,3BFI3@33208|Metazoa,3D1BC@33213|Bilateria,488WG@7711|Chordata,495J5@7742|Vertebrata,3J7DE@40674|Mammalia,35EA9@314146|Euarchontoglires,4M7JH@9443|Primates,3697I@314294|Cercopithecoidea</t>
  </si>
  <si>
    <t>ribosomal protein S27</t>
  </si>
  <si>
    <t>GO:0000049,GO:0000313,GO:0000314,GO:0003674,GO:0003676,GO:0003723,GO:0005488,GO:0005575,GO:0005622,GO:0005623,GO:0005737,GO:0005739,GO:0005740,GO:0005743,GO:0005759,GO:0005761,GO:0005763,GO:0005840,GO:0006412,GO:0006414,GO:0006415,GO:0006417,GO:0006518,GO:0006807,GO:0008150,GO:0008152,GO:0008283,GO:0009058,GO:0009059,GO:0009889,GO:0009891,GO:0009893,GO:0009987,GO:0010467,GO:0010468,GO:0010556,GO:0010557,GO:0010604,GO:0010608,GO:0010628,GO:0015935,GO:0016020,GO:0016043,GO:0019222,GO:0019538,GO:0019843,GO:0019866,GO:0022411,GO:0031090,GO:0031323,GO:0031325,GO:0031326,GO:0031328,GO:0031966,GO:0031967,GO:0031974,GO:0031975,GO:0032268,GO:0032270,GO:0032543,GO:0032984,GO:0032991,GO:0034248,GO:0034250,GO:0034641,GO:0034645,GO:0043021,GO:0043022,GO:0043043,GO:0043170,GO:0043226,GO:0043227,GO:0043228,GO:0043229,GO:0043231,GO:0043232,GO:0043233,GO:0043603,GO:0043604,GO:0043624,GO:0043933,GO:0044237,GO:0044238,GO:0044249,GO:0044260,GO:0044267,GO:0044271,GO:0044391,GO:0044422,GO:0044424,GO:0044429,GO:0044444,GO:0044446,GO:0044464,GO:0044877,GO:0045727,GO:0048518,GO:0048522,GO:0050789,GO:0050794,GO:0051171,GO:0051173,GO:0051246,GO:0051247,GO:0060255,GO:0065007,GO:0070013,GO:0070125,GO:0070126,GO:0070129,GO:0070131,GO:0071704,GO:0071840,GO:0080090,GO:0097159,GO:0097177,GO:0098798,GO:0140053,GO:1901363,GO:1901564,GO:1901566,GO:1901576,GO:1990904,GO:2000112</t>
  </si>
  <si>
    <t>ko:K17406</t>
  </si>
  <si>
    <t>MRP-S27</t>
  </si>
  <si>
    <t>LRPPRC</t>
  </si>
  <si>
    <t>leucine-rich PPR motif-containing protein</t>
  </si>
  <si>
    <t>evm.model.ptg000029l_1.904</t>
  </si>
  <si>
    <t>10116.ENSRNOP00000008200</t>
  </si>
  <si>
    <t>1.1e-26</t>
  </si>
  <si>
    <t>86.6</t>
  </si>
  <si>
    <t>KOG4318@1|root,KOG4318@2759|Eukaryota,39SQ8@33154|Opisthokonta,3BE57@33208|Metazoa,3CST4@33213|Bilateria,488QN@7711|Chordata,48VJ5@7742|Vertebrata,3JAK3@40674|Mammalia,35HVZ@314146|Euarchontoglires,4PVVN@9989|Rodentia</t>
  </si>
  <si>
    <t>beta-tubulin binding</t>
  </si>
  <si>
    <t>GO:0000228,GO:0000793,GO:0000794,GO:0000959,GO:0000960,GO:0000961,GO:0000963,GO:0000965,GO:0002082,GO:0003674,GO:0003676,GO:0003677,GO:0003697,GO:0003723,GO:0003729,GO:0003730,GO:0003824,GO:0004518,GO:0004519,GO:0005488,GO:0005515,GO:0005575,GO:0005622,GO:0005623,GO:0005634,GO:0005635,GO:0005637,GO:0005640,GO:0005654,GO:0005694,GO:0005737,GO:0005739,GO:0005759,GO:0005856,GO:0005874,GO:0006139,GO:0006140,GO:0006355,GO:0006378,GO:0006396,GO:0006397,GO:0006417,GO:0006725,GO:0006807,GO:0006810,GO:0006928,GO:0006996,GO:0007005,GO:0007017,GO:0007018,GO:0008017,GO:0008092,GO:0008150,GO:0008152,GO:0008535,GO:0009295,GO:0009451,GO:0009889,GO:0009892,GO:0009893,GO:0009894,GO:0009895,GO:0009987,GO:0010257,GO:0010467,GO:0010468,GO:0010556,GO:0010562,GO:0010605,GO:0010608,GO:0010970,GO:0012505,GO:0015630,GO:0015631,GO:0016020,GO:0016043,GO:0016070,GO:0016071,GO:0016787,GO:0016788,GO:0017004,GO:0017062,GO:0019219,GO:0019220,GO:0019222,GO:0019866,GO:0019867,GO:0019899,GO:0022607,GO:0030016,GO:0030017,GO:0030018,GO:0030705,GO:0031090,GO:0031123,GO:0031124,GO:0031323,GO:0031324,GO:0031325,GO:0031326,GO:0031329,GO:0031330,GO:0031426,GO:0031625,GO:0031672,GO:0031673,GO:0031674,GO:0031965,GO:0031967,GO:0031968,GO:0031974,GO:0031975,GO:0031981,GO:0032268,GO:0032981,GO:0032991,GO:0033108,GO:0033617,GO:0034248,GO:0034551,GO:0034622,GO:0034641,GO:0034643,GO:0042175,GO:0042325,GO:0042327,GO:0042645,GO:0043170,GO:0043226,GO:0043227,GO:0043228,GO:0043229,GO:0043231,GO:0043232,GO:0043233,GO:0043292,GO:0043412,GO:0043467,GO:0043487,GO:0043488,GO:0043631,GO:0043933,GO:0044085,GO:0044237,GO:0044238,GO:0044389,GO:0044422,GO:0044424,GO:0044425,GO:0044428,GO:0044429,GO:0044430,GO:0044444,GO:0044446,GO:0044449,GO:0044464,GO:0044528,GO:0045934,GO:0045935,GO:0045937,GO:0045981,GO:0046483,GO:0046907,GO:0047497,GO:0048471,GO:0048487,GO:0048518,GO:0048519,GO:0048522,GO:0048523,GO:0050789,GO:0050794,GO:0051171,GO:0051172,GO:0051173,GO:0051174,GO:0051179,GO:0051234,GO:0051246,GO:0051252,GO:0051253,GO:0051640,GO:0051641,GO:0051646,GO:0051649,GO:0051654,GO:0051656,GO:0060255,GO:0061013,GO:0062012,GO:0062013,GO:0065003,GO:0065007,GO:0065008,GO:0070013,GO:0070129,GO:0071704,GO:0071840,GO:0072384,GO:0080090,GO:0090304,GO:0090305,GO:0090615,GO:0090616,GO:0097159,GO:0097222,GO:0098588,GO:0098805,GO:0099080,GO:0099081,GO:0099111,GO:0099512,GO:0099513,GO:0140053,GO:1900542,GO:1900544,GO:1901360,GO:1901363,GO:1902369,GO:1903108,GO:1903311,GO:1903506,GO:1903578,GO:1903580,GO:1903862,GO:1990904,GO:2000112,GO:2001141</t>
  </si>
  <si>
    <t>ko:K17964</t>
  </si>
  <si>
    <t>evm.model.ptg000009l_1.1456</t>
  </si>
  <si>
    <t>244447.XP_008319858.1</t>
  </si>
  <si>
    <t>3.1e-33</t>
  </si>
  <si>
    <t>108.0</t>
  </si>
  <si>
    <t>KOG4318@1|root,KOG4318@2759|Eukaryota,39SQ8@33154|Opisthokonta,3BE57@33208|Metazoa,3CST4@33213|Bilateria,488QN@7711|Chordata,48VJ5@7742|Vertebrata,49V38@7898|Actinopterygii</t>
  </si>
  <si>
    <t>Leucine-rich PPR-motif containing</t>
  </si>
  <si>
    <t>MTPAP</t>
  </si>
  <si>
    <t>poly(A) RNA polymerase</t>
  </si>
  <si>
    <t>PRORP (MRPP3)</t>
  </si>
  <si>
    <t>mitochondrial ribonuclease P protein 3 isoform 4</t>
  </si>
  <si>
    <t>LACTB</t>
  </si>
  <si>
    <t>serine beta-lactamase-like protein LACTB</t>
  </si>
  <si>
    <t>mitochondrial isoform a precursor</t>
  </si>
  <si>
    <t>evm.model.ptg000016l_1.297</t>
  </si>
  <si>
    <t>7739.XP_002590141.1</t>
  </si>
  <si>
    <t>2.1e-99</t>
  </si>
  <si>
    <t>326.8</t>
  </si>
  <si>
    <t>COG1680@1|root,2QQBX@2759|Eukaryota,39RFH@33154|Opisthokonta,3BE1E@33208|Metazoa,3CSHV@33213|Bilateria,486XT@7711|Chordata</t>
  </si>
  <si>
    <t>V</t>
  </si>
  <si>
    <t>regulation of lipid metabolic process</t>
  </si>
  <si>
    <t>GO:0003674,GO:0003824,GO:0005488,GO:0005515,GO:0005575,GO:0005622,GO:0005623,GO:0005737,GO:0005739,GO:0005829,GO:0006508,GO:0006807,GO:0008150,GO:0008152,GO:0008233,GO:0016787,GO:0019216,GO:0019222,GO:0019538,GO:0042802,GO:0043170,GO:0043226,GO:0043227,GO:0043229,GO:0043231,GO:0044238,GO:0044424,GO:0044444,GO:0044464,GO:0050789,GO:0065007,GO:0071704,GO:0080090,GO:0140096,GO:1901564</t>
  </si>
  <si>
    <t>ko:K17382</t>
  </si>
  <si>
    <t>ko00000,ko01002</t>
  </si>
  <si>
    <t>Beta-lactamase</t>
  </si>
  <si>
    <t>evm.model.ptg000030l_1.955</t>
  </si>
  <si>
    <t>8083.ENSXMAP00000017697</t>
  </si>
  <si>
    <t>3.1e-31</t>
  </si>
  <si>
    <t>98.8</t>
  </si>
  <si>
    <t>COG1680@1|root,2S3SB@2759|Eukaryota,39ZJG@33154|Opisthokonta,3BYYI@33208|Metazoa,3DDSI@33213|Bilateria,48RA9@7711|Chordata,49MVV@7742|Vertebrata,4A97H@7898|Actinopterygii</t>
  </si>
  <si>
    <t>Lactamase, beta-like</t>
  </si>
  <si>
    <t>LACTBL1</t>
  </si>
  <si>
    <t>MTIF3</t>
  </si>
  <si>
    <t>translation initiation factor IF-3</t>
  </si>
  <si>
    <t>MTO1</t>
  </si>
  <si>
    <t>protein MTO1 homolog</t>
  </si>
  <si>
    <t>evm.model.ptg000041l_1.599</t>
  </si>
  <si>
    <t>9668.ENSMPUP00000004290</t>
  </si>
  <si>
    <t>540.4</t>
  </si>
  <si>
    <t>COG0445@1|root,KOG2311@2759|Eukaryota,38BWB@33154|Opisthokonta,3BFG6@33208|Metazoa,3CTUH@33213|Bilateria,482PJ@7711|Chordata,48ZK1@7742|Vertebrata,3J993@40674|Mammalia,3ESXX@33554|Carnivora</t>
  </si>
  <si>
    <t>Mitochondrial tRNA translation optimization 1</t>
  </si>
  <si>
    <t>GO:0000166,GO:0000959,GO:0000963,GO:0001510,GO:0002097,GO:0002098,GO:0003674,GO:0005488,GO:0005575,GO:0005622,GO:0005623,GO:0005737,GO:0005739,GO:0006139,GO:0006396,GO:0006399,GO:0006400,GO:0006725,GO:0006807,GO:0008033,GO:0008150,GO:0008152,GO:0009451,GO:0009987,GO:0010467,GO:0016070,GO:0030488,GO:0032259,GO:0034470,GO:0034641,GO:0034660,GO:0036094,GO:0043167,GO:0043168,GO:0043170,GO:0043226,GO:0043227,GO:0043229,GO:0043231,GO:0043412,GO:0043414,GO:0044237,GO:0044238,GO:0044260,GO:0044424,GO:0044444,GO:0044464,GO:0046483,GO:0048037,GO:0050660,GO:0050662,GO:0070525,GO:0070899,GO:0070900,GO:0071704,GO:0090304,GO:0090646,GO:0097159,GO:0140053,GO:1900864,GO:1901265,GO:1901360,GO:1901363</t>
  </si>
  <si>
    <t>ko:K03495</t>
  </si>
  <si>
    <t>R08701</t>
  </si>
  <si>
    <t>RC00053,RC00209,RC00870</t>
  </si>
  <si>
    <t>ko00000,ko03016,ko03036</t>
  </si>
  <si>
    <t>GIDA,GIDA_assoc</t>
  </si>
  <si>
    <t>MALSU1</t>
  </si>
  <si>
    <t>mitochondrial assembly of ribosomal large subunit protein 1</t>
  </si>
  <si>
    <t>evm.model.ptg000006l_1.6</t>
  </si>
  <si>
    <t>7668.SPU_013659-tr</t>
  </si>
  <si>
    <t>1.7e-29</t>
  </si>
  <si>
    <t>95.8</t>
  </si>
  <si>
    <t>COG0799@1|root,KOG3212@2759|Eukaryota,3A1W9@33154|Opisthokonta,3BQFZ@33208|Metazoa,3D3JN@33213|Bilateria</t>
  </si>
  <si>
    <t>negative regulation of mitochondrial translation</t>
  </si>
  <si>
    <t>GO:0003674,GO:0005488,GO:0005575,GO:0005622,GO:0005623,GO:0005737,GO:0005739,GO:0005759,GO:0005829,GO:0006417,GO:0008150,GO:0009889,GO:0009890,GO:0009892,GO:0010468,GO:0010556,GO:0010558,GO:0010605,GO:0010608,GO:0010629,GO:0017148,GO:0019222,GO:0022613,GO:0031323,GO:0031324,GO:0031326,GO:0031327,GO:0031974,GO:0032268,GO:0032269,GO:0034248,GO:0034249,GO:0042254,GO:0042273,GO:0043021,GO:0043023,GO:0043226,GO:0043227,GO:0043229,GO:0043231,GO:0043233,GO:0044085,GO:0044087,GO:0044422,GO:0044424,GO:0044429,GO:0044444,GO:0044446,GO:0044464,GO:0044877,GO:0048519,GO:0048523,GO:0050789,GO:0050794,GO:0051171,GO:0051172,GO:0051246,GO:0051248,GO:0060255,GO:0065007,GO:0070013,GO:0070129,GO:0070130,GO:0071840,GO:0080090,GO:0090069,GO:0090071,GO:2000112,GO:2000113</t>
  </si>
  <si>
    <t>RsfS</t>
  </si>
  <si>
    <t>MRRF</t>
  </si>
  <si>
    <t>ribosome-recycling factor</t>
  </si>
  <si>
    <t>evm.model.ptg000044l_1.1134</t>
  </si>
  <si>
    <t>7070.TC001287-PA</t>
  </si>
  <si>
    <t>2.5e-28</t>
  </si>
  <si>
    <t>92.3</t>
  </si>
  <si>
    <t>COG0233@1|root,KOG4759@2759|Eukaryota,38D1N@33154|Opisthokonta,3BITQ@33208|Metazoa,3CVFG@33213|Bilateria,41YSF@6656|Arthropoda,3SHHU@50557|Insecta</t>
  </si>
  <si>
    <t>GO:0003674,GO:0005488,GO:0005575,GO:0005622,GO:0005623,GO:0005737,GO:0005739,GO:0005759,GO:0006412,GO:0006415,GO:0006518,GO:0006807,GO:0006996,GO:0008150,GO:0008152,GO:0009058,GO:0009059,GO:0009987,GO:0010467,GO:0016043,GO:0019538,GO:0022411,GO:0031974,GO:0032543,GO:0032790,GO:0032984,GO:0032988,GO:0034641,GO:0034645,GO:0043021,GO:0043023,GO:0043043,GO:0043170,GO:0043226,GO:0043227,GO:0043229,GO:0043231,GO:0043233,GO:0043603,GO:0043604,GO:0043624,GO:0043933,GO:0044237,GO:0044238,GO:0044249,GO:0044260,GO:0044267,GO:0044271,GO:0044422,GO:0044424,GO:0044429,GO:0044444,GO:0044446,GO:0044464,GO:0044877,GO:0070013,GO:0070126,GO:0071704,GO:0071826,GO:0071840,GO:0140053,GO:1901564,GO:1901566,GO:1901576,GO:1903008</t>
  </si>
  <si>
    <t>ko:K02838</t>
  </si>
  <si>
    <t>ko00000,ko03012</t>
  </si>
  <si>
    <t>RRF</t>
  </si>
  <si>
    <t>SUPV3L1</t>
  </si>
  <si>
    <t>ATP-dependent RNA helicase SUPV3L1</t>
  </si>
  <si>
    <t>TFB2M</t>
  </si>
  <si>
    <t>dimethyladenosine transferase 2</t>
  </si>
  <si>
    <t>GTPBP3</t>
  </si>
  <si>
    <t>tRNA modification GTPase GTPBP3</t>
  </si>
  <si>
    <t>mitochondrial isoform III</t>
  </si>
  <si>
    <t>evm.model.ptg000034l_1.435</t>
  </si>
  <si>
    <t>7739.XP_002593523.1</t>
  </si>
  <si>
    <t>1.1e-96</t>
  </si>
  <si>
    <t>317.4</t>
  </si>
  <si>
    <t>COG0486@1|root,KOG1191@2759|Eukaryota,38CEV@33154|Opisthokonta,3BE5G@33208|Metazoa,3CV3A@33213|Bilateria,487V9@7711|Chordata</t>
  </si>
  <si>
    <t>tRNA modification</t>
  </si>
  <si>
    <t>GO:0005575,GO:0005622,GO:0005623,GO:0005634,GO:0005737,GO:0005739,GO:0007275,GO:0008150,GO:0009790,GO:0032501,GO:0032502,GO:0043226,GO:0043227,GO:0043229,GO:0043231,GO:0044424,GO:0044444,GO:0044464,GO:0048513,GO:0048568,GO:0048731,GO:0048856</t>
  </si>
  <si>
    <t>ko:K03650,ko:K10769</t>
  </si>
  <si>
    <t>ko00000,ko01000,ko03016</t>
  </si>
  <si>
    <t>MMR_HSR1,MnmE_helical,TrmE_N</t>
  </si>
  <si>
    <t>evm.model.ptg000034l_1.438</t>
  </si>
  <si>
    <t>10042.XP_006995990.1</t>
  </si>
  <si>
    <t>5.8e-29</t>
  </si>
  <si>
    <t>94.2</t>
  </si>
  <si>
    <t>COG0486@1|root,KOG1191@2759|Eukaryota,38CEV@33154|Opisthokonta,3BE5G@33208|Metazoa,3CV3A@33213|Bilateria,487V9@7711|Chordata,496TW@7742|Vertebrata,3JFWI@40674|Mammalia,35F59@314146|Euarchontoglires,4PSPE@9989|Rodentia</t>
  </si>
  <si>
    <t>tRNA modification GTPase GTPBP3, mitochondrial</t>
  </si>
  <si>
    <t>TRMU</t>
  </si>
  <si>
    <t>mitochondrial tRNA-specific 2-thiouridylase 1 isoform g</t>
  </si>
  <si>
    <t>evm.model.ptg000038l_1.1052</t>
  </si>
  <si>
    <t>6669.EFX69171</t>
  </si>
  <si>
    <t>6.6e-95</t>
  </si>
  <si>
    <t>311.8</t>
  </si>
  <si>
    <t>COG0482@1|root,KOG2805@2759|Eukaryota,38BAG@33154|Opisthokonta,3BF95@33208|Metazoa,3CU33@33213|Bilateria,41XW1@6656|Arthropoda</t>
  </si>
  <si>
    <t>Sulfurtransferase activity. It is involved in the biological process described with tRNA processing</t>
  </si>
  <si>
    <t>GO:0000959,GO:0000963,GO:0002097,GO:0002098,GO:0002143,GO:0005575,GO:0005622,GO:0005623,GO:0005634,GO:0005654,GO:0005737,GO:0005739,GO:0006139,GO:0006396,GO:0006399,GO:0006400,GO:0006725,GO:0006807,GO:0008033,GO:0008150,GO:0008152,GO:0009451,GO:0009987,GO:0010467,GO:0016070,GO:0031974,GO:0031981,GO:0034227,GO:0034470,GO:0034641,GO:0034660,GO:0043170,GO:0043226,GO:0043227,GO:0043229,GO:0043231,GO:0043233,GO:0043412,GO:0044237,GO:0044238,GO:0044422,GO:0044424,GO:0044428,GO:0044444,GO:0044446,GO:0044464,GO:0046483,GO:0070013,GO:0070525,GO:0070900,GO:0070903,GO:0071704,GO:0090304,GO:0090646,GO:0140053,GO:1900864,GO:1901360</t>
  </si>
  <si>
    <t>2.8.1.14</t>
  </si>
  <si>
    <t>ko:K21027</t>
  </si>
  <si>
    <t>tRNA_Me_trans</t>
  </si>
  <si>
    <t>evm.model.ptg000038l_1.1054</t>
  </si>
  <si>
    <t>7370.XP_005187637.1</t>
  </si>
  <si>
    <t>2.6e-64</t>
  </si>
  <si>
    <t>211.0</t>
  </si>
  <si>
    <t>COG0482@1|root,KOG2805@2759|Eukaryota,38BAG@33154|Opisthokonta,3BF95@33208|Metazoa,3CU33@33213|Bilateria,41XW1@6656|Arthropoda,3SH3C@50557|Insecta,44XMM@7147|Diptera</t>
  </si>
  <si>
    <t>C14orf159</t>
  </si>
  <si>
    <t>ribosome-releasing factor 2</t>
  </si>
  <si>
    <t>evm.model.ptg000005l_1.2118</t>
  </si>
  <si>
    <t>7739.XP_002612376.1</t>
  </si>
  <si>
    <t>1.2e-129</t>
  </si>
  <si>
    <t>426.3</t>
  </si>
  <si>
    <t>COG4336@1|root,2QV7A@2759|Eukaryota,39415@33154|Opisthokonta,3BA70@33208|Metazoa,3CZE6@33213|Bilateria,47ZD3@7711|Chordata</t>
  </si>
  <si>
    <t>Chromosome 14 open reading frame 159</t>
  </si>
  <si>
    <t>GO:0003674,GO:0003824,GO:0005575,GO:0005622,GO:0005623,GO:0005737,GO:0005739,GO:0005759,GO:0006082,GO:0006520,GO:0006536,GO:0006807,GO:0008150,GO:0008152,GO:0009064,GO:0009975,GO:0009987,GO:0016829,GO:0016835,GO:0016836,GO:0019752,GO:0031974,GO:0043226,GO:0043227,GO:0043229,GO:0043231,GO:0043233,GO:0043436,GO:0043648,GO:0044237,GO:0044238,GO:0044281,GO:0044422,GO:0044424,GO:0044429,GO:0044444,GO:0044446,GO:0044464,GO:0047820,GO:0070013,GO:0071704,GO:1901564,GO:1901605</t>
  </si>
  <si>
    <t>4.2.1.48</t>
  </si>
  <si>
    <t>ko:K22210</t>
  </si>
  <si>
    <t>ko00471,map00471</t>
  </si>
  <si>
    <t>R01583</t>
  </si>
  <si>
    <t>RC00553</t>
  </si>
  <si>
    <t>DUF1445,DUF4392</t>
  </si>
  <si>
    <t>MRPS36</t>
  </si>
  <si>
    <t>28S ribosomal protein S36</t>
  </si>
  <si>
    <t>PNPT1</t>
  </si>
  <si>
    <t>polyribonucleotide nucleotidyltransferase 1</t>
  </si>
  <si>
    <t>PTCD2</t>
  </si>
  <si>
    <t>pentatricopeptide repeat-containing protein 2</t>
  </si>
  <si>
    <t>SLIRP</t>
  </si>
  <si>
    <t>SRA stem-loop-interacting RNA-binding protein</t>
  </si>
  <si>
    <t>mitochondrial isoform 3 precursor</t>
  </si>
  <si>
    <t>evm.model.ptg000035l_1.870</t>
  </si>
  <si>
    <t>59894.ENSFALP00000013131</t>
  </si>
  <si>
    <t>1.4e-08</t>
  </si>
  <si>
    <t>KOG0118@1|root,KOG0118@2759|Eukaryota,3A6QC@33154|Opisthokonta,3BS4T@33208|Metazoa,3D87F@33213|Bilateria,48QYQ@7711|Chordata,49MIN@7742|Vertebrata,4GVAG@8782|Aves</t>
  </si>
  <si>
    <t>SRA stem-loop interacting RNA binding protein</t>
  </si>
  <si>
    <t>GO:0005575,GO:0005622,GO:0005623,GO:0005737,GO:0005739,GO:0043226,GO:0043227,GO:0043229,GO:0043231,GO:0044424,GO:0044444,GO:0044464</t>
  </si>
  <si>
    <t>RRM_1</t>
  </si>
  <si>
    <t>MTERF4</t>
  </si>
  <si>
    <t>transcription termination factor 4</t>
  </si>
  <si>
    <r>
      <rPr>
        <rFont val="Arial"/>
        <b/>
        <color theme="1"/>
      </rPr>
      <t xml:space="preserve">Genes involved in mitochondrial metabolic pathways in nuclear genome of </t>
    </r>
    <r>
      <rPr>
        <rFont val="Arial"/>
        <b/>
        <i/>
        <color theme="1"/>
      </rPr>
      <t>H. glomerosa</t>
    </r>
  </si>
  <si>
    <r>
      <rPr>
        <rFont val="Arial"/>
        <b/>
        <i/>
        <color theme="1"/>
      </rPr>
      <t>Heteropia glomerosa</t>
    </r>
    <r>
      <rPr>
        <rFont val="Arial"/>
        <b/>
        <color theme="1"/>
      </rPr>
      <t xml:space="preserve"> genome</t>
    </r>
  </si>
  <si>
    <t>Enzyme Class</t>
  </si>
  <si>
    <t>Gene</t>
  </si>
  <si>
    <t>Amino acid metabolism</t>
  </si>
  <si>
    <t>CG4389</t>
  </si>
  <si>
    <t>TRIFUNCTIONAL ENZYME ALPHA SUBUNIT</t>
  </si>
  <si>
    <t>CG3011</t>
  </si>
  <si>
    <t>SERINE HYDROXYMETHYLTRANSFERASE</t>
  </si>
  <si>
    <t>CG4685</t>
  </si>
  <si>
    <t>SUCCINATE SEMIALDEHYDE DEHYDROGENASE</t>
  </si>
  <si>
    <t>CG5214</t>
  </si>
  <si>
    <t>DIHYDROLIPOAMIDE SUCCINYLTRANSFERASE COMPONENT</t>
  </si>
  <si>
    <t>Alas</t>
  </si>
  <si>
    <t>5-AMINOLEVULINIC ACID SYNTHASE</t>
  </si>
  <si>
    <t>evm.model.ptg000012l_1.904</t>
  </si>
  <si>
    <t>6412.HelroP189320</t>
  </si>
  <si>
    <t>6.6e-96</t>
  </si>
  <si>
    <t>315.7</t>
  </si>
  <si>
    <t>COG0156@1|root,KOG1360@2759|Eukaryota,38GR7@33154|Opisthokonta,3BC00@33208|Metazoa,3CT2G@33213|Bilateria</t>
  </si>
  <si>
    <t>H</t>
  </si>
  <si>
    <t>5'-aminolevulinate synthase</t>
  </si>
  <si>
    <t>ALAS1</t>
  </si>
  <si>
    <t>GO:0000003,GO:0001101,GO:0001666,GO:0001889,GO:0002262,GO:0002376,GO:0002520,GO:0003674,GO:0003824,GO:0003870,GO:0005488,GO:0005515,GO:0005575,GO:0005622,GO:0005623,GO:0005634,GO:0005654,GO:0005737,GO:0005739,GO:0005740,GO:0005743,GO:0005759,GO:0005829,GO:0006725,GO:0006778,GO:0006779,GO:0006783,GO:0006807,GO:0006810,GO:0006873,GO:0006875,GO:0006879,GO:0006950,GO:0006996,GO:0007005,GO:0007275,GO:0007565,GO:0007589,GO:0007595,GO:0008144,GO:0008150,GO:0008152,GO:0009058,GO:0009059,GO:0009605,GO:0009628,GO:0009635,GO:0009636,GO:0009719,GO:0009725,GO:0009790,GO:0009987,GO:0009991,GO:0010033,GO:0010035,GO:0010038,GO:0010045,GO:0010243,GO:0010288,GO:0014070,GO:0014074,GO:0016020,GO:0016043,GO:0016410,GO:0016594,GO:0016597,GO:0016740,GO:0016746,GO:0016747,GO:0016748,GO:0016749,GO:0018130,GO:0019216,GO:0019222,GO:0019438,GO:0019538,GO:0019725,GO:0019866,GO:0020027,GO:0022414,GO:0030003,GO:0030097,GO:0030099,GO:0030154,GO:0030218,GO:0030879,GO:0031090,GO:0031099,GO:0031100,GO:0031406,GO:0031667,GO:0031966,GO:0031967,GO:0031974,GO:0031975,GO:0031981,GO:0032025,GO:0032364,GO:0032501,GO:0032502,GO:0032504,GO:0032868,GO:0032869,GO:0032870,GO:0033013,GO:0033014,GO:0033483,GO:0033993,GO:0034101,GO:0034641,GO:0034645,GO:0034698,GO:0035162,GO:0036094,GO:0036293,GO:0040003,GO:0042165,GO:0042168,GO:0042221,GO:0042335,GO:0042440,GO:0042493,GO:0042541,GO:0042592,GO:0042802,GO:0043167,GO:0043168,GO:0043169,GO:0043170,GO:0043177,GO:0043226,GO:0043227,GO:0043229,GO:0043231,GO:0043233,GO:0043434,GO:0044237,GO:0044238,GO:0044249,GO:0044260,GO:0044271,GO:0044422,GO:0044424,GO:0044428,GO:0044429,GO:0044444,GO:0044446,GO:0044464,GO:0044703,GO:0044706,GO:0045471,GO:0046148,GO:0046483,GO:0046677,GO:0046683,GO:0046903,GO:0046916,GO:0048037,GO:0048468,GO:0048513,GO:0048534,GO:0048568,GO:0048609,GO:0048731,GO:0048732,GO:0048821,GO:0048856,GO:0048869,GO:0048872,GO:0048878,GO:0050662,GO:0050789,GO:0050801,GO:0050878,GO:0050896,GO:0051179,GO:0051186,GO:0051188,GO:0051234,GO:0051591,GO:0051704,GO:0051716,GO:0055065,GO:0055072,GO:0055076,GO:0055080,GO:0055082,GO:0060135,GO:0061008,GO:0061515,GO:0065007,GO:0065008,GO:0070013,GO:0070482,GO:0070541,GO:0070542,GO:0070887,GO:0071310,GO:0071375,GO:0071407,GO:0071417,GO:0071495,GO:0071704,GO:0071840,GO:0080090,GO:0097305,GO:0097421,GO:0098771,GO:1901360,GO:1901362,GO:1901423,GO:1901564,GO:1901566,GO:1901576,GO:1901652,GO:1901653,GO:1901698,GO:1901699,GO:1901700,GO:1901701</t>
  </si>
  <si>
    <t>2.3.1.37</t>
  </si>
  <si>
    <t>ko:K00643</t>
  </si>
  <si>
    <t>ko00260,ko00860,ko01100,ko01110,map00260,map00860,map01100,map01110</t>
  </si>
  <si>
    <t>R00830</t>
  </si>
  <si>
    <t>RC00004,RC02815</t>
  </si>
  <si>
    <t>ko00000,ko00001,ko01000,ko01007</t>
  </si>
  <si>
    <t>Aminotran_1_2,Preseq_ALAS</t>
  </si>
  <si>
    <t>evm.model.ptg000030l_1.819</t>
  </si>
  <si>
    <t>225400.XP_006765977.1</t>
  </si>
  <si>
    <t>3.4e-157</t>
  </si>
  <si>
    <t>518.7</t>
  </si>
  <si>
    <t>COG0156@1|root,KOG1360@2759|Eukaryota,38GR7@33154|Opisthokonta,3BC00@33208|Metazoa,3CT2G@33213|Bilateria,47YTD@7711|Chordata,48XA4@7742|Vertebrata,3J300@40674|Mammalia,4M1U5@9397|Chiroptera</t>
  </si>
  <si>
    <t>synthase</t>
  </si>
  <si>
    <t>ALAS2</t>
  </si>
  <si>
    <t>GO:0000003,GO:0001101,GO:0001666,GO:0001889,GO:0002262,GO:0002376,GO:0002520,GO:0003674,GO:0003824,GO:0003870,GO:0005488,GO:0005575,GO:0005622,GO:0005623,GO:0005737,GO:0005739,GO:0005740,GO:0005743,GO:0005759,GO:0006725,GO:0006778,GO:0006779,GO:0006783,GO:0006807,GO:0006810,GO:0006873,GO:0006875,GO:0006879,GO:0006950,GO:0007275,GO:0007565,GO:0007589,GO:0007595,GO:0008144,GO:0008150,GO:0008152,GO:0009058,GO:0009059,GO:0009628,GO:0009790,GO:0009987,GO:0010033,GO:0010035,GO:0010038,GO:0010288,GO:0014070,GO:0016020,GO:0016410,GO:0016594,GO:0016597,GO:0016740,GO:0016746,GO:0016747,GO:0016748,GO:0016749,GO:0018130,GO:0019438,GO:0019538,GO:0019725,GO:0019866,GO:0020027,GO:0022414,GO:0030003,GO:0030097,GO:0030099,GO:0030154,GO:0030218,GO:0030879,GO:0031090,GO:0031099,GO:0031100,GO:0031406,GO:0031966,GO:0031967,GO:0031974,GO:0031975,GO:0032025,GO:0032364,GO:0032501,GO:0032502,GO:0032504,GO:0033013,GO:0033014,GO:0033483,GO:0033993,GO:0034101,GO:0034641,GO:0034645,GO:0035162,GO:0036094,GO:0036293,GO:0040003,GO:0042165,GO:0042168,GO:0042221,GO:0042335,GO:0042440,GO:0042493,GO:0042541,GO:0042592,GO:0043167,GO:0043168,GO:0043169,GO:0043170,GO:0043177,GO:0043226,GO:0043227,GO:0043229,GO:0043231,GO:0043233,GO:0044237,GO:0044238,GO:0044249,GO:0044260,GO:0044271,GO:0044422,GO:0044424,GO:0044429,GO:0044444,GO:0044446,GO:0044464,GO:0044703,GO:0044706,GO:0046148,GO:0046483,GO:0046903,GO:0046916,GO:0048037,GO:0048468,GO:0048513,GO:0048534,GO:0048568,GO:0048609,GO:0048731,GO:0048732,GO:0048821,GO:0048856,GO:0048869,GO:0048872,GO:0048878,GO:0050662,GO:0050801,GO:0050878,GO:0050896,GO:0051179,GO:0051186,GO:0051188,GO:0051234,GO:0051704,GO:0055065,GO:0055072,GO:0055076,GO:0055080,GO:0055082,GO:0060135,GO:0061008,GO:0061515,GO:0065007,GO:0065008,GO:0070013,GO:0070482,GO:0070542,GO:0071704,GO:0097421,GO:0098771,GO:1901360,GO:1901362,GO:1901423,GO:1901564,GO:1901566,GO:1901576,GO:1901700</t>
  </si>
  <si>
    <t>CG1673</t>
  </si>
  <si>
    <t>BRANCHED-CHAIN AMINO ACID AMINOTRANSFERASE (by similarity)</t>
  </si>
  <si>
    <t>CG10361</t>
  </si>
  <si>
    <t>2-AMINO-3-KETOBUTYRATE COENZYME A LIGASE</t>
  </si>
  <si>
    <t>arginase</t>
  </si>
  <si>
    <t>ARGINASE"</t>
  </si>
  <si>
    <t>evm.model.ptg000034l_1.455</t>
  </si>
  <si>
    <t>8364.ENSXETP00000018067</t>
  </si>
  <si>
    <t>7.8e-34</t>
  </si>
  <si>
    <t>111.2</t>
  </si>
  <si>
    <t>COG0010@1|root,KOG2965@2759|Eukaryota,38CCH@33154|Opisthokonta,3BCCT@33208|Metazoa,3CTT1@33213|Bilateria,47Z9R@7711|Chordata,48YUR@7742|Vertebrata</t>
  </si>
  <si>
    <t>ARG1</t>
  </si>
  <si>
    <t>GO:0000003,GO:0000050,GO:0000302,GO:0000323,GO:0001101,GO:0001562,GO:0001775,GO:0001817,GO:0001818,GO:0001889,GO:0001910,GO:0001912,GO:0001936,GO:0001938,GO:0001959,GO:0001960,GO:0002237,GO:0002252,GO:0002263,GO:0002274,GO:0002275,GO:0002283,GO:0002366,GO:0002376,GO:0002443,GO:0002444,GO:0002446,GO:0002682,GO:0002683,GO:0002684,GO:0002694,GO:0002695,GO:0002697,GO:0002698,GO:0002699,GO:0002700,GO:0002701,GO:0002703,GO:0002704,GO:0002705,GO:0002706,GO:0002707,GO:0002709,GO:0002710,GO:0002718,GO:0002719,GO:0002724,GO:0002725,GO:0002819,GO:0002820,GO:0002822,GO:0002823,GO:0002828,GO:0002829,GO:0002831,GO:0002833,GO:0002886,GO:0002888,GO:0003674,GO:0003824,GO:0004053,GO:0005488,GO:0005575,GO:0005576,GO:0005615,GO:0005622,GO:0005623,GO:0005737,GO:0005739,GO:0005740,GO:0005741,GO:0005764,GO:0005766,GO:0005773,GO:0005775,GO:0005829,GO:0006082,GO:0006520,GO:0006525,GO:0006527,GO:0006591,GO:0006807,GO:0006810,GO:0006887,GO:0006950,GO:0006952,GO:0006955,GO:0006979,GO:0007162,GO:0007275,GO:0007565,GO:0007568,GO:0007584,GO:0008150,GO:0008152,GO:0008284,GO:0008285,GO:0009056,GO:0009058,GO:0009063,GO:0009064,GO:0009065,GO:0009410,GO:0009605,GO:0009607,GO:0009611,GO:0009617,GO:0009635,GO:0009636,GO:0009653,GO:0009719,GO:0009725,GO:0009887,GO:0009966,GO:0009968,GO:0009987,GO:0009991,GO:0010033,GO:0010035,GO:0010038,GO:0010042,GO:0010043,GO:0010243,GO:0010269,GO:0010646,GO:0010648,GO:0010963,GO:0012505,GO:0014070,GO:0014075,GO:0016020,GO:0016043,GO:0016054,GO:0016192,GO:0016787,GO:0016810,GO:0016813,GO:0019547,GO:0019627,GO:0019752,GO:0019867,GO:0022407,GO:0022408,GO:0022414,GO:0022607,GO:0022612,GO:0023051,GO:0023057,GO:0030141,GO:0030145,GO:0030155,GO:0030323,GO:0030324,GO:0030879,GO:0031090,GO:0031341,GO:0031343,GO:0031347,GO:0031348,GO:0031349,GO:0031410,GO:0031667,GO:0031960,GO:0031966,GO:0031967,GO:0031968,GO:0031974,GO:0031975,GO:0031982,GO:0031983,GO:0032101,GO:0032103,GO:0032496,GO:0032501,GO:0032502,GO:0032504,GO:0032870,GO:0032879,GO:0032890,GO:0032940,GO:0032944,GO:0032945,GO:0032963,GO:0032964,GO:0033189,GO:0033197,GO:0033273,GO:0033554,GO:0033762,GO:0033993,GO:0034097,GO:0034599,GO:0034614,GO:0034641,GO:0034774,GO:0035295,GO:0035578,GO:0035580,GO:0035690,GO:0036230,GO:0036477,GO:0042119,GO:0042127,GO:0042129,GO:0042130,GO:0042221,GO:0042493,GO:0042542,GO:0042581,GO:0042582,GO:0042832,GO:0042995,GO:0043005,GO:0043025,GO:0043167,GO:0043169,GO:0043200,GO:0043207,GO:0043226,GO:0043227,GO:0043229,GO:0043231,GO:0043233,GO:0043269,GO:0043299,GO:0043312,GO:0043434,GO:0043436,GO:0043603,GO:0043604,GO:0043900,GO:0043902,GO:0043903,GO:0043933,GO:0044070,GO:0044085,GO:0044237,GO:0044238,GO:0044248,GO:0044249,GO:0044271,GO:0044281,GO:0044282,GO:0044297,GO:0044421,GO:0044422,GO:0044424,GO:0044429,GO:0044433,GO:0044437,GO:0044444,GO:0044446,GO:0044464,GO:0044703,GO:0044706,GO:0045055,GO:0045088,GO:0045321,GO:0045824,GO:0046006,GO:0046007,GO:0046395,GO:0046677,GO:0046686,GO:0046872,GO:0046903,GO:0046914,GO:0048513,GO:0048518,GO:0048519,GO:0048522,GO:0048523,GO:0048545,GO:0048583,GO:0048584,GO:0048585,GO:0048609,GO:0048678,GO:0048731,GO:0048732,GO:0048771,GO:0048856,GO:0050670,GO:0050672,GO:0050678,GO:0050679,GO:0050776,GO:0050777,GO:0050789,GO:0050794,GO:0050863,GO:0050865,GO:0050866,GO:0050868,GO:0050896,GO:0051049,GO:0051179,GO:0051234,GO:0051239,GO:0051241,GO:0051249,GO:0051250,GO:0051259,GO:0051260,GO:0051384,GO:0051597,GO:0051704,GO:0051707,GO:0051709,GO:0051712,GO:0051716,GO:0051952,GO:0051955,GO:0060056,GO:0060135,GO:0060205,GO:0060330,GO:0060331,GO:0060334,GO:0060336,GO:0060443,GO:0060541,GO:0060759,GO:0060761,GO:0061008,GO:0065003,GO:0065007,GO:0070013,GO:0070206,GO:0070207,GO:0070301,GO:0070663,GO:0070664,GO:0070670,GO:0070848,GO:0070887,GO:0070948,GO:0070949,GO:0070953,GO:0070960,GO:0070961,GO:0070965,GO:0071216,GO:0071219,GO:0071222,GO:0071236,GO:0071310,GO:0071345,GO:0071353,GO:0071363,GO:0071375,GO:0071377,GO:0071383,GO:0071384,GO:0071385,GO:0071396,GO:0071407,GO:0071417,GO:0071466,GO:0071495,GO:0071548,GO:0071549,GO:0071559,GO:0071560,GO:0071704,GO:0071840,GO:0071941,GO:0080134,GO:0097237,GO:0097327,GO:0097458,GO:0097708,GO:0098542,GO:0098588,GO:0098805,GO:0099503,GO:0120025,GO:1900150,GO:1901564,GO:1901565,GO:1901566,GO:1901575,GO:1901576,GO:1901605,GO:1901606,GO:1901652,GO:1901653,GO:1901654,GO:1901655,GO:1901698,GO:1901699,GO:1901700,GO:1901701,GO:1903037,GO:1903038,GO:2000551,GO:2000552,GO:2001023</t>
  </si>
  <si>
    <t>3.5.3.1</t>
  </si>
  <si>
    <t>ko:K01476</t>
  </si>
  <si>
    <t>ko00220,ko00330,ko01100,ko01110,ko01130,ko01230,ko05146,map00220,map00330,map01100,map01110,map01130,map01230,map05146</t>
  </si>
  <si>
    <t>M00029,M00134</t>
  </si>
  <si>
    <t>R00551</t>
  </si>
  <si>
    <t>RC00024,RC00329</t>
  </si>
  <si>
    <t>ko00000,ko00001,ko00002,ko01000</t>
  </si>
  <si>
    <t>Arginase</t>
  </si>
  <si>
    <t>evm.model.ptg000034l_1.456</t>
  </si>
  <si>
    <t>51511.ENSCSAVP00000012674</t>
  </si>
  <si>
    <t>1.4e-31</t>
  </si>
  <si>
    <t>103.9</t>
  </si>
  <si>
    <t>COG0010@1|root,KOG2965@2759|Eukaryota,38CCH@33154|Opisthokonta,3BCCT@33208|Metazoa,3CTT1@33213|Bilateria,47Z9R@7711|Chordata</t>
  </si>
  <si>
    <t>arginase activity</t>
  </si>
  <si>
    <t>ARG2</t>
  </si>
  <si>
    <t>GO:0000003,GO:0000050,GO:0000302,GO:0000323,GO:0001101,GO:0001505,GO:0001562,GO:0001655,GO:0001657,GO:0001666,GO:0001775,GO:0001817,GO:0001818,GO:0001822,GO:0001823,GO:0001889,GO:0001910,GO:0001912,GO:0001936,GO:0001938,GO:0001959,GO:0001960,GO:0002237,GO:0002252,GO:0002263,GO:0002274,GO:0002275,GO:0002283,GO:0002366,GO:0002376,GO:0002443,GO:0002444,GO:0002446,GO:0002682,GO:0002683,GO:0002684,GO:0002694,GO:0002695,GO:0002697,GO:0002698,GO:0002699,GO:0002700,GO:0002701,GO:0002703,GO:0002704,GO:0002705,GO:0002706,GO:0002707,GO:0002709,GO:0002710,GO:0002718,GO:0002719,GO:0002724,GO:0002725,GO:0002791,GO:0002792,GO:0002819,GO:0002820,GO:0002822,GO:0002823,GO:0002828,GO:0002829,GO:0002831,GO:0002832,GO:0002833,GO:0002886,GO:0002888,GO:0003008,GO:0003012,GO:0003674,GO:0003824,GO:0004053,GO:0005488,GO:0005515,GO:0005575,GO:0005576,GO:0005615,GO:0005622,GO:0005623,GO:0005737,GO:0005739,GO:0005740,GO:0005741,GO:0005759,GO:0005764,GO:0005766,GO:0005773,GO:0005775,GO:0005829,GO:0006082,GO:0006520,GO:0006525,GO:0006527,GO:0006591,GO:0006807,GO:0006809,GO:0006810,GO:0006887,GO:0006915,GO:0006936,GO:0006937,GO:0006941,GO:0006942,GO:0006950,GO:0006952,GO:0006955,GO:0006979,GO:0007162,GO:0007275,GO:0007494,GO:0007565,GO:0007568,GO:0007584,GO:0008150,GO:0008152,GO:0008219,GO:0008284,GO:0008285,GO:0009056,GO:0009058,GO:0009063,GO:0009064,GO:0009065,GO:0009410,GO:0009605,GO:0009607,GO:0009611,GO:0009617,GO:0009628,GO:0009635,GO:0009636,GO:0009653,GO:0009719,GO:0009725,GO:0009743,GO:0009746,GO:0009749,GO:0009887,GO:0009888,GO:0009889,GO:0009892,GO:0009966,GO:0009968,GO:0009987,GO:0009991,GO:0010033,GO:0010035,GO:0010038,GO:0010042,GO:0010043,GO:0010243,GO:0010269,GO:0010646,GO:0010648,GO:0010941,GO:0010963,GO:0012501,GO:0012505,GO:0014070,GO:0014075,GO:0016020,GO:0016043,GO:0016054,GO:0016192,GO:0016787,GO:0016810,GO:0016813,GO:0017144,GO:0019222,GO:0019547,GO:0019627,GO:0019752,GO:0019867,GO:0019899,GO:0022407,GO:0022408,GO:0022414,GO:0022607,GO:0022612,GO:0023051,GO:0023057,GO:0030141,GO:0030145,GO:0030155,GO:0030323,GO:0030324,GO:0030879,GO:0031090,GO:0031323,GO:0031326,GO:0031341,GO:0031343,GO:0031347,GO:0031348,GO:0031349,GO:0031410,GO:0031667,GO:0031960,GO:0031966,GO:0031967,GO:0031968,GO:0031974,GO:0031975,GO:0031982,GO:0031983,GO:0032101,GO:0032102,GO:0032103,GO:0032496,GO:0032501,GO:0032502,GO:0032504,GO:0032642,GO:0032651,GO:0032652,GO:0032656,GO:0032660,GO:0032680,GO:0032682,GO:0032696,GO:0032700,GO:0032720,GO:0032768,GO:0032769,GO:0032870,GO:0032879,GO:0032880,GO:0032890,GO:0032940,GO:0032944,GO:0032945,GO:0032963,GO:0032964,GO:0033189,GO:0033197,GO:0033273,GO:0033554,GO:0033762,GO:0033993,GO:0034097,GO:0034284,GO:0034341,GO:0034599,GO:0034614,GO:0034641,GO:0034774,GO:0035295,GO:0035578,GO:0035580,GO:0035690,GO:0036230,GO:0036293,GO:0036477,GO:0042119,GO:0042127,GO:0042129,GO:0042130,GO:0042133,GO:0042136,GO:0042221,GO:0042493,GO:0042542,GO:0042581,GO:0042582,GO:0042832,GO:0042981,GO:0042995,GO:0043005,GO:0043025,GO:0043066,GO:0043067,GO:0043069,GO:0043086,GO:0043167,GO:0043169,GO:0043200,GO:0043207,GO:0043226,GO:0043227,GO:0043229,GO:0043231,GO:0043233,GO:0043269,GO:0043299,GO:0043312,GO:0043434,GO:0043436,GO:0043603,GO:0043604,GO:0043900,GO:0043901,GO:0043902,GO:0043903,GO:0043933,GO:0044057,GO:0044070,GO:0044085,GO:0044092,GO:0044237,GO:0044238,GO:0044248,GO:0044249,GO:0044271,GO:0044281,GO:0044282,GO:0044297,GO:0044421,GO:0044422,GO:0044424,GO:0044429,GO:0044433,GO:0044437,GO:0044444,GO:0044446,GO:0044464,GO:0044703,GO:0044706,GO:0045055,GO:0045087,GO:0045088,GO:0045321,GO:0045428,GO:0045824,GO:0045932,GO:0045988,GO:0046006,GO:0046007,GO:0046209,GO:0046395,GO:0046634,GO:0046636,GO:0046640,GO:0046642,GO:0046677,GO:0046686,GO:0046689,GO:0046872,GO:0046903,GO:0046914,GO:0048513,GO:0048518,GO:0048519,GO:0048522,GO:0048523,GO:0048545,GO:0048565,GO:0048583,GO:0048584,GO:0048585,GO:0048609,GO:0048678,GO:0048731,GO:0048732,GO:0048771,GO:0048856,GO:0050670,GO:0050672,GO:0050678,GO:0050679,GO:0050704,GO:0050706,GO:0050707,GO:0050708,GO:0050709,GO:0050710,GO:0050776,GO:0050777,GO:0050789,GO:0050790,GO:0050793,GO:0050794,GO:0050863,GO:0050865,GO:0050866,GO:0050868,GO:0050896,GO:0050998,GO:0050999,GO:0051001,GO:0051046,GO:0051048,GO:0051049,GO:0051051,GO:0051094,GO:0051171,GO:0051179,GO:0051223,GO:0051224,GO:0051234,GO:0051239,GO:0051241,GO:0051249,GO:0051250,GO:0051259,GO:0051260,GO:0051341,GO:0051354,GO:0051384,GO:0051597,GO:0051704,GO:0051707,GO:0051709,GO:0051712,GO:0051716,GO:0051952,GO:0051955,GO:0055123,GO:0060056,GO:0060135,GO:0060205,GO:0060330,GO:0060331,GO:0060334,GO:0060336,GO:0060429,GO:0060443,GO:0060541,GO:0060548,GO:0060759,GO:0060761,GO:0061008,GO:0065003,GO:0065007,GO:0065008,GO:0065009,GO:0070013,GO:0070201,GO:0070206,GO:0070207,GO:0070228,GO:0070229,GO:0070232,GO:0070233,GO:0070301,GO:0070482,GO:0070663,GO:0070664,GO:0070670,GO:0070848,GO:0070887,GO:0070948,GO:0070949,GO:0070953,GO:0070960,GO:0070961,GO:0070965,GO:0071216,GO:0071219,GO:0071222,GO:0071236,GO:0071310,GO:0071345,GO:0071346,GO:0071353,GO:0071363,GO:0071375,GO:0071377,GO:0071383,GO:0071384,GO:0071385,GO:0071396,GO:0071407,GO:0071417,GO:0071466,GO:0071495,GO:0071548,GO:0071549,GO:0071559,GO:0071560,GO:0071640,GO:0071641,GO:0071643,GO:0071644,GO:0071649,GO:0071650,GO:0071704,GO:0071840,GO:0071941,GO:0072001,GO:0072073,GO:0072163,GO:0072164,GO:0072593,GO:0080134,GO:0080135,GO:0090087,GO:0090257,GO:0090342,GO:0090343,GO:0097237,GO:0097327,GO:0097458,GO:0097708,GO:0098542,GO:0098588,GO:0098805,GO:0099503,GO:0120025,GO:1900150,GO:1900424,GO:1900425,GO:1901564,GO:1901565,GO:1901566,GO:1901575,GO:1901576,GO:1901605,GO:1901606,GO:1901652,GO:1901653,GO:1901654,GO:1901655,GO:1901698,GO:1901699,GO:1901700,GO:1901701,GO:1903037,GO:1903038,GO:1903409,GO:1903426,GO:1903530,GO:1903531,GO:1903555,GO:1903556,GO:1904467,GO:1904468,GO:1904950,GO:1905076,GO:1905077,GO:1905402,GO:1905403,GO:2000106,GO:2000107,GO:2000377,GO:2000514,GO:2000515,GO:2000551,GO:2000552,GO:2000561,GO:2000562,GO:2000665,GO:2000666,GO:2000772,GO:2000774,GO:2001023,GO:2001057</t>
  </si>
  <si>
    <t>thiolase</t>
  </si>
  <si>
    <t>TRIFUNCTONAL ENZYME BETA SUBUNIT</t>
  </si>
  <si>
    <t>CG17691</t>
  </si>
  <si>
    <t>2-OXOISOVALERATE DEHYDROGENASE BETA SUBUNIT</t>
  </si>
  <si>
    <t>ppl</t>
  </si>
  <si>
    <t>GLYCINE CLEAVAGE SYSTEM H PROTEIN</t>
  </si>
  <si>
    <t>CG11661</t>
  </si>
  <si>
    <t>2-OXOGLUTARATE DEHYDROGENASE E1 COMPONENT</t>
  </si>
  <si>
    <t>CG7430</t>
  </si>
  <si>
    <t>DIHYDROLIPOAMIDE DEHYDROGENASE"</t>
  </si>
  <si>
    <t>CG10932</t>
  </si>
  <si>
    <t>ACETYL-COA ACETYLTRANSFERASE</t>
  </si>
  <si>
    <t>CG8782</t>
  </si>
  <si>
    <t>ORNITHINE AMINOTRANSFERASE</t>
  </si>
  <si>
    <t>Gdh</t>
  </si>
  <si>
    <t>GLUTAMATE DEHYDROGENASE</t>
  </si>
  <si>
    <t>evm.model.ptg000044l_1.1031</t>
  </si>
  <si>
    <t>27923.ML001110a-PA</t>
  </si>
  <si>
    <t>1.5e-243</t>
  </si>
  <si>
    <t>803.1</t>
  </si>
  <si>
    <t>COG0334@1|root,COG5271@1|root,KOG4210@1|root,KOG1808@2759|Eukaryota,KOG2250@2759|Eukaryota,KOG4210@2759|Eukaryota,38GEK@33154|Opisthokonta,3BHQW@33208|Metazoa</t>
  </si>
  <si>
    <t>glutamate dehydrogenase [NAD(P)+] activity</t>
  </si>
  <si>
    <t>GO:0003674,GO:0003824,GO:0004352,GO:0004353,GO:0005488,GO:0005515,GO:0005575,GO:0005622,GO:0005623,GO:0005737,GO:0005739,GO:0005759,GO:0006082,GO:0006103,GO:0006106,GO:0006116,GO:0006139,GO:0006520,GO:0006536,GO:0006538,GO:0006725,GO:0006732,GO:0006733,GO:0006734,GO:0006753,GO:0006793,GO:0006796,GO:0006807,GO:0008150,GO:0008152,GO:0009056,GO:0009063,GO:0009064,GO:0009065,GO:0009117,GO:0009987,GO:0016054,GO:0016491,GO:0016638,GO:0016639,GO:0019362,GO:0019551,GO:0019637,GO:0019674,GO:0019752,GO:0031974,GO:0034641,GO:0042802,GO:0043226,GO:0043227,GO:0043229,GO:0043231,GO:0043233,GO:0043436,GO:0043648,GO:0043649,GO:0044237,GO:0044238,GO:0044248,GO:0044281,GO:0044282,GO:0044422,GO:0044424,GO:0044429,GO:0044444,GO:0044446,GO:0044464,GO:0046395,GO:0046483,GO:0046496,GO:0051186,GO:0055086,GO:0055114,GO:0070013,GO:0071704,GO:0072524,GO:1901360,GO:1901564,GO:1901565,GO:1901575,GO:1901605,GO:1901606</t>
  </si>
  <si>
    <t>1.4.1.3</t>
  </si>
  <si>
    <t>ko:K00261</t>
  </si>
  <si>
    <t>ko00220,ko00250,ko00471,ko00910,ko01100,ko01200,ko04217,ko04964,map00220,map00250,map00471,map00910,map01100,map01200,map04217,map04964</t>
  </si>
  <si>
    <t>M00740</t>
  </si>
  <si>
    <t>R00243,R00248</t>
  </si>
  <si>
    <t>RC00006,RC02799</t>
  </si>
  <si>
    <t>ko00000,ko00001,ko00002,ko01000,ko04147</t>
  </si>
  <si>
    <t>ELFV_dehydrog,ELFV_dehydrog_N</t>
  </si>
  <si>
    <t>evm.model.ptg000044l_1.2630</t>
  </si>
  <si>
    <t>8.5e-246</t>
  </si>
  <si>
    <t>810.4</t>
  </si>
  <si>
    <t>CG8199</t>
  </si>
  <si>
    <t>2-OXOISOVALERATE DEHYDROGENASE ALPHA SUBUNIT</t>
  </si>
  <si>
    <t>CG2118</t>
  </si>
  <si>
    <t>METHYLCROTONYL-COA CARBOXYLASE, ALPHA CHAIN</t>
  </si>
  <si>
    <t>CG3267</t>
  </si>
  <si>
    <t>METHYLCROTONYL-COA CARBOXYLASE, BETA SUBUNIT</t>
  </si>
  <si>
    <t>CG7145</t>
  </si>
  <si>
    <t>DELTA-1-PYRROLINE-5-CARBOXYLATE DEHYDROGENASE"</t>
  </si>
  <si>
    <t>CG6638</t>
  </si>
  <si>
    <t>ISOVALERYL-COA DEHYDROGENASE</t>
  </si>
  <si>
    <t>CG3752</t>
  </si>
  <si>
    <t>ALDEHYDE DEHYDROGENASE (by similarity)</t>
  </si>
  <si>
    <t>CG6543</t>
  </si>
  <si>
    <t>ENOYL-COA HYDRATASE"</t>
  </si>
  <si>
    <t>CG5599</t>
  </si>
  <si>
    <t>LIPOAMIDE ACYLTRANSFERASE COMPONENT OF branched-chain alpha-keto acid dehydrogenase complex, mitochondrial-like</t>
  </si>
  <si>
    <t>CG7433</t>
  </si>
  <si>
    <t>4-AMINOBUTYRATE AMINOTRANSFERASE</t>
  </si>
  <si>
    <t>CG17896</t>
  </si>
  <si>
    <t>METHYLMALONATE-SEMIALDEHYDE DEHYDROGENASE</t>
  </si>
  <si>
    <t>CG6309</t>
  </si>
  <si>
    <t>CG6415</t>
  </si>
  <si>
    <t>AMINOMETHYLTRANSFERASE (by similarity)</t>
  </si>
  <si>
    <t>CG15093</t>
  </si>
  <si>
    <t>3-HYDROXYISOBUTYRATE DEHYDROGENASE</t>
  </si>
  <si>
    <t>CG10399</t>
  </si>
  <si>
    <t>HYDROXYMETHYLGLUTARYL-COA LYASE</t>
  </si>
  <si>
    <t>CG9547</t>
  </si>
  <si>
    <t>GLUTARYL-COA DEHYDROGENASE</t>
  </si>
  <si>
    <t>yip2</t>
  </si>
  <si>
    <t>3-KETOACYL-COA THIOLASE</t>
  </si>
  <si>
    <t>CG7176</t>
  </si>
  <si>
    <t>ISOCITRATE DEHYDROGENASE [NADP]</t>
  </si>
  <si>
    <t>CG7934</t>
  </si>
  <si>
    <t>CG4233</t>
  </si>
  <si>
    <t>ASPARTATE AMINOTRANSFERASE (by similarity)</t>
  </si>
  <si>
    <t>CG8430</t>
  </si>
  <si>
    <t>CG5265</t>
  </si>
  <si>
    <t>CARNITINE O-ACETYLTRANSFERASE</t>
  </si>
  <si>
    <t>CG6661</t>
  </si>
  <si>
    <t>CG4434</t>
  </si>
  <si>
    <t>nemy</t>
  </si>
  <si>
    <t>GLUTAMINASE</t>
  </si>
  <si>
    <t>CG12628</t>
  </si>
  <si>
    <t>GLUTATHIONE S-TRANSFERASE</t>
  </si>
  <si>
    <t>Mgstl</t>
  </si>
  <si>
    <t>CG3999</t>
  </si>
  <si>
    <t>GLYCINE DEHYDROGENASE [DECARBOXYLATING]</t>
  </si>
  <si>
    <t>CG12013</t>
  </si>
  <si>
    <t>PHOSPHOLIPID HYDROPEROXIDE GLUTATHIONE</t>
  </si>
  <si>
    <t>slgA</t>
  </si>
  <si>
    <t>PROLINE OXIDASE</t>
  </si>
  <si>
    <t>Carbohydrate metabolism Others</t>
  </si>
  <si>
    <t>Nmdmc</t>
  </si>
  <si>
    <t>BIFUNCTIONAL METHYLENETETRAHYDROFOLATE</t>
  </si>
  <si>
    <t>Carbohydrate metabolism Pyruvate metabolism</t>
  </si>
  <si>
    <t>CG5261</t>
  </si>
  <si>
    <t>DIHYDROLIPOAMIDE ACETYLTRANSFERASE COMPONENT</t>
  </si>
  <si>
    <t>CG7010</t>
  </si>
  <si>
    <t>PYRUVATE DEHYDROGENASE E1 COMPONENT ALPHA</t>
  </si>
  <si>
    <t>CG1516</t>
  </si>
  <si>
    <t>PYRUVATE CARBOXYLASE</t>
  </si>
  <si>
    <t>CG12151</t>
  </si>
  <si>
    <t>PYRUVATE DEHYDROGENASE [LIPOAMIDE]]-PHOSPHATASE</t>
  </si>
  <si>
    <t>pepck</t>
  </si>
  <si>
    <t>PHOSPHOENOLPYRUVATE CARBOXYKINASE</t>
  </si>
  <si>
    <t>CG11876</t>
  </si>
  <si>
    <t>PYRUVATE DEHYDROGENASE E1 COMPONENT BETA</t>
  </si>
  <si>
    <t>Mdh</t>
  </si>
  <si>
    <t>NADP-DEPENDENT MALIC ENZYME</t>
  </si>
  <si>
    <t>CG10924</t>
  </si>
  <si>
    <t>Carbohydrate metabolism Tricarboxylic-acid pathway</t>
  </si>
  <si>
    <t>Sucb</t>
  </si>
  <si>
    <t>SUCCINYL-COA LIGASE [GDP-FORMING] BETA CHAIN</t>
  </si>
  <si>
    <t>Scsalpha</t>
  </si>
  <si>
    <t>SUCCINYL-COA LIGASE [GDP-FORMING] ALPHA-CHAIN</t>
  </si>
  <si>
    <t>evm.model.ptg000007l_1.448</t>
  </si>
  <si>
    <t>7739.XP_002592994.1</t>
  </si>
  <si>
    <t>1.9e-155</t>
  </si>
  <si>
    <t>511.8</t>
  </si>
  <si>
    <t>COG0045@1|root,KOG2799@2759|Eukaryota,38D0K@33154|Opisthokonta,3BF6T@33208|Metazoa,3CUQP@33213|Bilateria,48508@7711|Chordata</t>
  </si>
  <si>
    <t>succinate-CoA ligase (ADP-forming) activity</t>
  </si>
  <si>
    <t>SUCLA2</t>
  </si>
  <si>
    <t>GO:0000003,GO:0000151,GO:0003006,GO:0003674,GO:0003824,GO:0004774,GO:0004775,GO:0005575,GO:0005622,GO:0005623,GO:0005737,GO:0005739,GO:0005759,GO:0006082,GO:0006091,GO:0006099,GO:0006101,GO:0006104,GO:0006105,GO:0006139,GO:0006163,GO:0006637,GO:0006725,GO:0006732,GO:0006753,GO:0006778,GO:0006779,GO:0006780,GO:0006781,GO:0006790,GO:0006793,GO:0006796,GO:0006807,GO:0007275,GO:0007276,GO:0007281,GO:0007283,GO:0007286,GO:0007291,GO:0007349,GO:0008150,GO:0008152,GO:0009058,GO:0009060,GO:0009117,GO:0009150,GO:0009259,GO:0009361,GO:0009653,GO:0009893,GO:0009987,GO:0010604,GO:0010941,GO:0010942,GO:0010950,GO:0010952,GO:0015980,GO:0016053,GO:0016874,GO:0016877,GO:0016878,GO:0016999,GO:0017144,GO:0018130,GO:0019222,GO:0019438,GO:0019637,GO:0019693,GO:0019752,GO:0019953,GO:0022412,GO:0022414,GO:0030154,GO:0030162,GO:0031323,GO:0031325,GO:0031461,GO:0031463,GO:0031974,GO:0032268,GO:0032270,GO:0032501,GO:0032502,GO:0032504,GO:0032991,GO:0033013,GO:0033014,GO:0033865,GO:0033875,GO:0034032,GO:0034641,GO:0035383,GO:0042709,GO:0042981,GO:0043065,GO:0043067,GO:0043068,GO:0043085,GO:0043209,GO:0043226,GO:0043227,GO:0043229,GO:0043231,GO:0043233,GO:0043280,GO:0043281,GO:0043436,GO:0043603,GO:0043648,GO:0044093,GO:0044237,GO:0044238,GO:0044249,GO:0044271,GO:0044281,GO:0044283,GO:0044422,GO:0044424,GO:0044429,GO:0044444,GO:0044446,GO:0044464,GO:0044703,GO:0045239,GO:0045333,GO:0045862,GO:0046394,GO:0046483,GO:0046502,GO:0048232,GO:0048468,GO:0048515,GO:0048518,GO:0048522,GO:0048609,GO:0048646,GO:0048856,GO:0048869,GO:0050789,GO:0050790,GO:0050794,GO:0051171,GO:0051173,GO:0051186,GO:0051188,GO:0051246,GO:0051247,GO:0051336,GO:0051345,GO:0051704,GO:0052547,GO:0052548,GO:0055086,GO:0055114,GO:0060255,GO:0065007,GO:0065009,GO:0070013,GO:0071704,GO:0072350,GO:0072521,GO:0080090,GO:1901135,GO:1901360,GO:1901362,GO:1901564,GO:1901566,GO:1901576,GO:1902494,GO:1990234,GO:2000116,GO:2001056</t>
  </si>
  <si>
    <t>6.2.1.4,6.2.1.5</t>
  </si>
  <si>
    <t>ko:K01900</t>
  </si>
  <si>
    <t>ko00020,ko00640,ko01100,ko01110,ko01120,ko01130,ko01200,map00020,map00640,map01100,map01110,map01120,map01130,map01200</t>
  </si>
  <si>
    <t>M00009,M00011</t>
  </si>
  <si>
    <t>R00432,R00727</t>
  </si>
  <si>
    <t>RC00004,RC00014</t>
  </si>
  <si>
    <t>ATP-grasp_2,Ligase_CoA</t>
  </si>
  <si>
    <t>Acon</t>
  </si>
  <si>
    <t>ACONITATE HYDRATASE</t>
  </si>
  <si>
    <t>CG7998</t>
  </si>
  <si>
    <t>MALATE DEHYDROGENASE</t>
  </si>
  <si>
    <t>CG3861</t>
  </si>
  <si>
    <t>CITRATE SYNTHASE (by similarity)</t>
  </si>
  <si>
    <t>CG5028</t>
  </si>
  <si>
    <t>ISOCITRATE DEHYDROGENASE [NAD] SUBUNIT GAMMA</t>
  </si>
  <si>
    <t>CG4095</t>
  </si>
  <si>
    <t>FUMARATE HYDRATASE</t>
  </si>
  <si>
    <t>CG12233</t>
  </si>
  <si>
    <t>ISOCITRATE DEHYDROGENASE [NAD] SUBUNIT ALPHA</t>
  </si>
  <si>
    <t>CG6439</t>
  </si>
  <si>
    <t>ISOCITRATE DEHYDROGENASE [NAD] SUBUNIT BETA</t>
  </si>
  <si>
    <t>CG11963</t>
  </si>
  <si>
    <t>SUCCINYL-COA LIGASE [ADP-FORMING] BETA CHAIN</t>
  </si>
  <si>
    <t>CG4706</t>
  </si>
  <si>
    <t>CG14740</t>
  </si>
  <si>
    <t>CG31874</t>
  </si>
  <si>
    <t>CG4094</t>
  </si>
  <si>
    <t>FUMARATE HYDRATASE"</t>
  </si>
  <si>
    <t>CG10748</t>
  </si>
  <si>
    <t>CG10749</t>
  </si>
  <si>
    <t>CG6255</t>
  </si>
  <si>
    <t>Cell rescue defense and cell death</t>
  </si>
  <si>
    <t>CG7263</t>
  </si>
  <si>
    <t>PROGRAMED CELL DEATH PROTEIN 8</t>
  </si>
  <si>
    <t>Sod2</t>
  </si>
  <si>
    <t>SUPEROXIDE DISMUTASE [MN]</t>
  </si>
  <si>
    <t>evm.model.ptg000032l_1.65</t>
  </si>
  <si>
    <t>9601.ENSPPYP00000019197</t>
  </si>
  <si>
    <t>264.6</t>
  </si>
  <si>
    <t>COG0605@1|root,KOG0876@2759|Eukaryota,396RM@33154|Opisthokonta,3BAMQ@33208|Metazoa,3CWP6@33213|Bilateria,480ZY@7711|Chordata,48WR5@7742|Vertebrata,3JAZX@40674|Mammalia,35C17@314146|Euarchontoglires,4MB5B@9443|Primates,4MV4B@9604|Hominidae</t>
  </si>
  <si>
    <t>superoxide dismutase activity</t>
  </si>
  <si>
    <t>SOD2</t>
  </si>
  <si>
    <t>GO:0000302,GO:0000303,GO:0000305,GO:0001101,GO:0001306,GO:0001315,GO:0001505,GO:0001666,GO:0001836,GO:0001889,GO:0001976,GO:0002237,GO:0002376,GO:0002520,GO:0002682,GO:0003007,GO:0003008,GO:0003013,GO:0003018,GO:0003032,GO:0003044,GO:0003068,GO:0003069,GO:0003070,GO:0003073,GO:0003085,GO:0003674,GO:0003676,GO:0003677,GO:0003824,GO:0004784,GO:0005488,GO:0005515,GO:0005575,GO:0005622,GO:0005623,GO:0005737,GO:0005739,GO:0005740,GO:0005743,GO:0005759,GO:0006091,GO:0006355,GO:0006357,GO:0006518,GO:0006575,GO:0006749,GO:0006790,GO:0006801,GO:0006807,GO:0006915,GO:0006950,GO:0006974,GO:0006979,GO:0006996,GO:0007005,GO:0007154,GO:0007165,GO:0007166,GO:0007267,GO:0007275,GO:0007399,GO:0007507,GO:0007568,GO:0007571,GO:0007584,GO:0007610,GO:0007626,GO:0008015,GO:0008144,GO:0008150,GO:0008152,GO:0008217,GO:0008219,GO:0008285,GO:0008340,GO:0008630,GO:0008631,GO:0008637,GO:0009058,GO:0009266,GO:0009295,GO:0009314,GO:0009409,GO:0009593,GO:0009605,GO:0009607,GO:0009611,GO:0009617,GO:0009628,GO:0009636,GO:0009653,GO:0009743,GO:0009791,GO:0009887,GO:0009889,GO:0009891,GO:0009893,GO:0009894,GO:0009966,GO:0009968,GO:0009987,GO:0009991,GO:0010033,GO:0010035,GO:0010038,GO:0010042,GO:0010043,GO:0010212,GO:0010259,GO:0010269,GO:0010332,GO:0010468,GO:0010506,GO:0010556,GO:0010646,GO:0010648,GO:0010660,GO:0010661,GO:0010821,GO:0010941,GO:0010942,GO:0012501,GO:0014823,GO:0015980,GO:0016020,GO:0016043,GO:0016209,GO:0016491,GO:0016721,GO:0016999,GO:0017000,GO:0017144,GO:0019219,GO:0019221,GO:0019222,GO:0019430,GO:0019825,GO:0019866,GO:0019899,GO:0022008,GO:0022607,GO:0022900,GO:0022904,GO:0023051,GO:0023052,GO:0023057,GO:0030097,GO:0030145,GO:0030154,GO:0030182,GO:0030334,GO:0030335,GO:0031090,GO:0031323,GO:0031325,GO:0031326,GO:0031328,GO:0031329,GO:0031667,GO:0031966,GO:0031967,GO:0031974,GO:0031975,GO:0032364,GO:0032496,GO:0032501,GO:0032502,GO:0032879,GO:0032991,GO:0033043,GO:0033273,GO:0033483,GO:0033554,GO:0033591,GO:0033993,GO:0034021,GO:0034097,GO:0034284,GO:0034391,GO:0034393,GO:0034599,GO:0034614,GO:0034641,GO:0035150,GO:0035206,GO:0035296,GO:0035556,GO:0035690,GO:0035722,GO:0035900,GO:0035902,GO:0036094,GO:0036293,GO:0036296,GO:0036473,GO:0038001,GO:0040012,GO:0040017,GO:0042127,GO:0042221,GO:0042311,GO:0042391,GO:0042493,GO:0042542,GO:0042554,GO:0042592,GO:0042645,GO:0042743,GO:0042802,GO:0042803,GO:0042981,GO:0043065,GO:0043066,GO:0043067,GO:0043068,GO:0043069,GO:0043167,GO:0043169,GO:0043207,GO:0043209,GO:0043226,GO:0043227,GO:0043228,GO:0043229,GO:0043231,GO:0043232,GO:0043233,GO:0043473,GO:0043523,GO:0043524,GO:0043603,GO:0043933,GO:0044085,GO:0044237,GO:0044249,GO:0044422,GO:0044424,GO:0044425,GO:0044429,GO:0044444,GO:0044446,GO:0044455,GO:0044464,GO:0045333,GO:0045428,GO:0045429,GO:0045471,GO:0045595,GO:0045596,GO:0045597,GO:0045598,GO:0045599,GO:0045776,GO:0046677,GO:0046686,GO:0046872,GO:0046914,GO:0046983,GO:0048066,GO:0048145,GO:0048147,GO:0048468,GO:0048513,GO:0048518,GO:0048519,GO:0048522,GO:0048523,GO:0048534,GO:0048583,GO:0048585,GO:0048660,GO:0048662,GO:0048666,GO:0048678,GO:0048699,GO:0048731,GO:0048732,GO:0048773,GO:0048856,GO:0048869,GO:0048878,GO:0050665,GO:0050789,GO:0050790,GO:0050793,GO:0050794,GO:0050801,GO:0050877,GO:0050880,GO:0050896,GO:0050931,GO:0051093,GO:0051094,GO:0051128,GO:0051147,GO:0051149,GO:0051150,GO:0051152,GO:0051171,GO:0051173,GO:0051186,GO:0051188,GO:0051239,GO:0051240,GO:0051252,GO:0051259,GO:0051260,GO:0051262,GO:0051270,GO:0051272,GO:0051289,GO:0051602,GO:0051606,GO:0051704,GO:0051707,GO:0051716,GO:0051881,GO:0055065,GO:0055072,GO:0055076,GO:0055080,GO:0055093,GO:0055114,GO:0060255,GO:0060548,GO:0061008,GO:0065003,GO:0065007,GO:0065008,GO:0065009,GO:0070013,GO:0070482,GO:0070671,GO:0070887,GO:0071000,GO:0071236,GO:0071310,GO:0071345,GO:0071349,GO:0071361,GO:0071450,GO:0071451,GO:0071704,GO:0071840,GO:0072359,GO:0072593,GO:0080090,GO:0080134,GO:0080135,GO:0090066,GO:0097159,GO:0097190,GO:0097193,GO:0097237,GO:0097249,GO:0097305,GO:0097306,GO:0097746,GO:0097755,GO:0098754,GO:0098771,GO:0098796,GO:0098798,GO:0098800,GO:0098869,GO:1900239,GO:1900241,GO:1900407,GO:1900408,GO:1901214,GO:1901215,GO:1901342,GO:1901363,GO:1901564,GO:1901700,GO:1901701,GO:1902175,GO:1902176,GO:1902531,GO:1902532,GO:1902882,GO:1902883,GO:1903146,GO:1903201,GO:1903202,GO:1903409,GO:1903426,GO:1903428,GO:1903506,GO:1904018,GO:1904407,GO:1904705,GO:1904706,GO:1905063,GO:1905065,GO:1905459,GO:1905461,GO:1905915,GO:1905917,GO:1905930,GO:1905932,GO:1990748,GO:2000026,GO:2000112,GO:2000145,GO:2000147,GO:2000377,GO:2000379,GO:2001141,GO:2001233,GO:2001234,GO:2001242,GO:2001243</t>
  </si>
  <si>
    <t>1.15.1.1</t>
  </si>
  <si>
    <t>ko:K04564</t>
  </si>
  <si>
    <t>ko04013,ko04068,ko04146,ko04211,ko04212,ko04213,ko05016,map04013,map04068,map04146,map04211,map04212,map04213,map05016</t>
  </si>
  <si>
    <t>Sod_Fe_C,Sod_Fe_N</t>
  </si>
  <si>
    <t>evm.model.ptg000032l_1.67</t>
  </si>
  <si>
    <t>38654.XP_006021981.1</t>
  </si>
  <si>
    <t>4.3e-30</t>
  </si>
  <si>
    <t>98.2</t>
  </si>
  <si>
    <t>COG0605@1|root,KOG0876@2759|Eukaryota,396RM@33154|Opisthokonta,3BAMQ@33208|Metazoa,3CWP6@33213|Bilateria,480ZY@7711|Chordata,48WR5@7742|Vertebrata</t>
  </si>
  <si>
    <t>P</t>
  </si>
  <si>
    <t>age-dependent response to reactive oxygen species</t>
  </si>
  <si>
    <t>CG8517</t>
  </si>
  <si>
    <t>THIOREDOXIN</t>
  </si>
  <si>
    <t>debcl</t>
  </si>
  <si>
    <t>APOPTOSIS REGULATOR BCL-2</t>
  </si>
  <si>
    <t>CG8993</t>
  </si>
  <si>
    <t>Prx5037</t>
  </si>
  <si>
    <t>THIOREDOXIN-DEPENDENT PEROXIDE REDUCTASE</t>
  </si>
  <si>
    <t>Metabolism of Cofactors and Vitamins</t>
  </si>
  <si>
    <t>dare</t>
  </si>
  <si>
    <t>NADPH:ADRENODOXIN OXIDOREDUCTASE</t>
  </si>
  <si>
    <t>Coprox</t>
  </si>
  <si>
    <t>COPROPORPHYRINOGEN III OXIDASE</t>
  </si>
  <si>
    <t>ferrochelatase</t>
  </si>
  <si>
    <t>FERROCHELATASE"</t>
  </si>
  <si>
    <t>CG5796</t>
  </si>
  <si>
    <t>PROTOPORPHYRINOGEN OXIDASE</t>
  </si>
  <si>
    <t>CG6022</t>
  </si>
  <si>
    <t>CYTOCHROME C-TYPE HEME LYASE</t>
  </si>
  <si>
    <t>CG7470</t>
  </si>
  <si>
    <t>DELTA 1-PYRROLINE-5-CARBOXYLATE SYNTHETASE"</t>
  </si>
  <si>
    <t>CG2543</t>
  </si>
  <si>
    <t>FOLYLPOLYGLUTAMATE SYNTHASE"</t>
  </si>
  <si>
    <t>Metabolism of Complex Lipids Fatty acid metabolism</t>
  </si>
  <si>
    <t>CG7461</t>
  </si>
  <si>
    <t>ACYL-COA DEHYDROGENASE,VERY-LONG-CHAIN SPECIFIC (by similarity)</t>
  </si>
  <si>
    <t>CG2107</t>
  </si>
  <si>
    <t>CARNITINE O-PALMITOYLTRANSFERASE II (by similarity)</t>
  </si>
  <si>
    <t>CG9577</t>
  </si>
  <si>
    <t>DELTA3,5-DELTA2,4-DIENOYL-COA ISOMERASE"</t>
  </si>
  <si>
    <t>CPTI</t>
  </si>
  <si>
    <t>CARNITINE O-PALMITOYLTRANSFERASE I"</t>
  </si>
  <si>
    <t>CG12262</t>
  </si>
  <si>
    <t>ACYL-COA DEHYDROGENASE,MEDIUM-CHAIN SPECIFIC (by similarity)</t>
  </si>
  <si>
    <t>CG4598</t>
  </si>
  <si>
    <t>3,2-TRANS-ENOYL-COA ISOMERASE</t>
  </si>
  <si>
    <t>CG4594</t>
  </si>
  <si>
    <t>CG4592</t>
  </si>
  <si>
    <t>CG9319</t>
  </si>
  <si>
    <t>ALPHA-METHYLACYL-COA RACEMASE (by similarity)</t>
  </si>
  <si>
    <t>Metabolism of Complex Lipids Glycerolipid metabolism</t>
  </si>
  <si>
    <t>CG8256</t>
  </si>
  <si>
    <t>GLYCEROL-3-PHOSPHATE DEHYDROGENASE</t>
  </si>
  <si>
    <t>CG5508</t>
  </si>
  <si>
    <t>GLYCEROL-3-PHOSPHATE ACYLTRANSFERASE</t>
  </si>
  <si>
    <t>CG2137</t>
  </si>
  <si>
    <t>Metabolism of Complex Lipids Others</t>
  </si>
  <si>
    <t>CG1319</t>
  </si>
  <si>
    <t>ADRENODOXIN (by similarity)</t>
  </si>
  <si>
    <t>CG1140</t>
  </si>
  <si>
    <t>SUCCINYL-COA:3-KETOACID-COENZYME A TRANSFERASE</t>
  </si>
  <si>
    <t>Nucleotide metabolism</t>
  </si>
  <si>
    <t>Adk3</t>
  </si>
  <si>
    <t>GTP:AMP PHOSPHOTRANSFERASE</t>
  </si>
  <si>
    <t>Dhod</t>
  </si>
  <si>
    <t>DIHYDROOROTATE DEHYDROGENASE"</t>
  </si>
  <si>
    <t>evm.model.ptg000019l_1.1252</t>
  </si>
  <si>
    <t>9031.ENSGALP00000001161</t>
  </si>
  <si>
    <t>447.9</t>
  </si>
  <si>
    <t>COG0167@1|root,KOG1436@2759|Eukaryota,38BTB@33154|Opisthokonta,3BDAR@33208|Metazoa,3CRQM@33213|Bilateria,48548@7711|Chordata,48YSI@7742|Vertebrata,4GJ0T@8782|Aves</t>
  </si>
  <si>
    <t>Dihydroorotate dehydrogenase (quinone)</t>
  </si>
  <si>
    <t>DHODH</t>
  </si>
  <si>
    <t>GO:0000003,GO:0000166,GO:0001101,GO:0003674,GO:0003824,GO:0004152,GO:0005488,GO:0005575,GO:0005622,GO:0005623,GO:0005634,GO:0005654,GO:0005737,GO:0005739,GO:0005740,GO:0005743,GO:0005758,GO:0005829,GO:0006139,GO:0006206,GO:0006207,GO:0006213,GO:0006725,GO:0006807,GO:0006810,GO:0006950,GO:0007275,GO:0007565,GO:0007584,GO:0007589,GO:0007595,GO:0008144,GO:0008150,GO:0008152,GO:0009058,GO:0009112,GO:0009116,GO:0009163,GO:0009410,GO:0009605,GO:0009987,GO:0009991,GO:0010033,GO:0010181,GO:0010243,GO:0010821,GO:0010941,GO:0010942,GO:0014070,GO:0014074,GO:0016020,GO:0016491,GO:0016627,GO:0016635,GO:0018130,GO:0019438,GO:0019856,GO:0019866,GO:0022414,GO:0022603,GO:0030879,GO:0031000,GO:0031090,GO:0031667,GO:0031966,GO:0031967,GO:0031970,GO:0031974,GO:0031975,GO:0031981,GO:0032501,GO:0032502,GO:0032553,GO:0033043,GO:0034404,GO:0034641,GO:0034654,GO:0036094,GO:0036270,GO:0036477,GO:0042221,GO:0042493,GO:0042594,GO:0042981,GO:0043025,GO:0043065,GO:0043067,GO:0043068,GO:0043167,GO:0043168,GO:0043200,GO:0043226,GO:0043227,GO:0043229,GO:0043231,GO:0043233,GO:0043279,GO:0044237,GO:0044238,GO:0044249,GO:0044271,GO:0044281,GO:0044283,GO:0044297,GO:0044422,GO:0044424,GO:0044428,GO:0044429,GO:0044444,GO:0044446,GO:0044464,GO:0044703,GO:0044706,GO:0046112,GO:0046134,GO:0046483,GO:0046903,GO:0048037,GO:0048038,GO:0048039,GO:0048513,GO:0048518,GO:0048522,GO:0048731,GO:0048732,GO:0048856,GO:0050662,GO:0050789,GO:0050793,GO:0050794,GO:0050878,GO:0050896,GO:0051128,GO:0051179,GO:0051234,GO:0051704,GO:0055086,GO:0055114,GO:0065007,GO:0065008,GO:0070013,GO:0071704,GO:0072527,GO:0072528,GO:0090140,GO:0097159,GO:0097367,GO:0097458,GO:1901135,GO:1901137,GO:1901265,GO:1901360,GO:1901362,GO:1901363,GO:1901564,GO:1901566,GO:1901576,GO:1901657,GO:1901659,GO:1901698,GO:1901700,GO:1903576</t>
  </si>
  <si>
    <t>1.3.5.2</t>
  </si>
  <si>
    <t>ko:K00254</t>
  </si>
  <si>
    <t>ko00240,ko01100,map00240,map01100</t>
  </si>
  <si>
    <t>M00051</t>
  </si>
  <si>
    <t>R01868</t>
  </si>
  <si>
    <t>RC00051</t>
  </si>
  <si>
    <t>DHO_dh</t>
  </si>
  <si>
    <t>dnk</t>
  </si>
  <si>
    <t>THYMIDINE KINASE 2</t>
  </si>
  <si>
    <t>Others</t>
  </si>
  <si>
    <t>CG6459</t>
  </si>
  <si>
    <t>COMPLEMENT COMPONENT 1, Q SUBCOMPONENT BINDING PROTEIN (by similarity)</t>
  </si>
  <si>
    <t>Ucp4A</t>
  </si>
  <si>
    <t>UNCOUPLING PROTEIN 4</t>
  </si>
  <si>
    <t>Bmcp</t>
  </si>
  <si>
    <t>MITOCHONDRIAL CARRIER PROTEIN-1"</t>
  </si>
  <si>
    <t>CG2789</t>
  </si>
  <si>
    <t>PERIPHERAL-TYPE BENZODIAZEPINE RECEPTOR</t>
  </si>
  <si>
    <t>Ucp4C</t>
  </si>
  <si>
    <t>Ucp4B</t>
  </si>
  <si>
    <t>Oxidative phosphorilation Complex I</t>
  </si>
  <si>
    <t>ND75</t>
  </si>
  <si>
    <t>NADH-UBIQUINONE OXIDOREDUCTASE 75 KDA SUBUNIT</t>
  </si>
  <si>
    <t>evm.model.ptg000006l_1.177</t>
  </si>
  <si>
    <t>6669.EFX87607</t>
  </si>
  <si>
    <t>1.3e-157</t>
  </si>
  <si>
    <t>516.6</t>
  </si>
  <si>
    <t>COG1034@1|root,KOG2282@2759|Eukaryota,38DHR@33154|Opisthokonta,3BE04@33208|Metazoa,3CT34@33213|Bilateria,41TNR@6656|Arthropoda</t>
  </si>
  <si>
    <t>Belongs to the complex I 75 kDa subunit family</t>
  </si>
  <si>
    <t>GO:0003674,GO:0003824,GO:0003954,GO:0005488,GO:0005575,GO:0005622,GO:0005623,GO:0005737,GO:0005739,GO:0005740,GO:0005743,GO:0005746,GO:0005747,GO:0006091,GO:0006119,GO:0006120,GO:0006139,GO:0006163,GO:0006725,GO:0006753,GO:0006793,GO:0006796,GO:0006807,GO:0006915,GO:0006996,GO:0007005,GO:0008137,GO:0008150,GO:0008152,GO:0008219,GO:0008637,GO:0009117,GO:0009123,GO:0009126,GO:0009141,GO:0009144,GO:0009150,GO:0009161,GO:0009167,GO:0009199,GO:0009205,GO:0009259,GO:0009987,GO:0012501,GO:0015980,GO:0016020,GO:0016043,GO:0016310,GO:0016491,GO:0016651,GO:0016655,GO:0017144,GO:0019637,GO:0019693,GO:0019866,GO:0022900,GO:0022904,GO:0030964,GO:0031090,GO:0031966,GO:0031967,GO:0031975,GO:0032991,GO:0034641,GO:0042773,GO:0042775,GO:0043226,GO:0043227,GO:0043229,GO:0043231,GO:0044237,GO:0044238,GO:0044281,GO:0044422,GO:0044424,GO:0044425,GO:0044429,GO:0044444,GO:0044446,GO:0044455,GO:0044464,GO:0045271,GO:0045333,GO:0046034,GO:0046483,GO:0048037,GO:0050136,GO:0051536,GO:0051540,GO:0055086,GO:0055114,GO:0070469,GO:0071704,GO:0071840,GO:0072521,GO:0072593,GO:0098796,GO:0098798,GO:0098800,GO:0098803,GO:1901135,GO:1901360,GO:1901564,GO:1902494,GO:1990204</t>
  </si>
  <si>
    <t>1.6.5.3,1.6.99.3</t>
  </si>
  <si>
    <t>ko:K03934</t>
  </si>
  <si>
    <t>ko00190,ko01100,ko04714,ko04723,ko04932,ko05010,ko05012,ko05016,map00190,map01100,map04714,map04723,map04932,map05010,map05012,map05016</t>
  </si>
  <si>
    <t>M00143</t>
  </si>
  <si>
    <t>R11945</t>
  </si>
  <si>
    <t>RC00061</t>
  </si>
  <si>
    <t>3.D.1.6</t>
  </si>
  <si>
    <t>Fer2_4,Molybdopterin,NADH-G_4Fe-4S_3,NADH_dhqG_C</t>
  </si>
  <si>
    <t>CG1970</t>
  </si>
  <si>
    <t>NADH-UBIQUINONE OXIDOREDUCTASE 49 KDA SUBUNIT</t>
  </si>
  <si>
    <t>CG9140</t>
  </si>
  <si>
    <t>NADH-UBIQUINONE OXIDOREDUCTASE 51 KDA SUBUNIT</t>
  </si>
  <si>
    <t>CG5703</t>
  </si>
  <si>
    <t>NADH-UBIQUINONE OXIDOREDUCTASE 24 KDA SUBUNIT</t>
  </si>
  <si>
    <t>CG12079</t>
  </si>
  <si>
    <t>NADH-UBIQUINONE OXIDOREDUCTASE 30 KDA SUBUNIT</t>
  </si>
  <si>
    <t>CG9172</t>
  </si>
  <si>
    <t>NADH-UBIQUINONE OXIDOREDUCTASE 20 KDA SUBUNIT</t>
  </si>
  <si>
    <t>CG3214</t>
  </si>
  <si>
    <t>NADH-UBIQUINONE OXIDOREDUCTASE SUBUNIT B17.2</t>
  </si>
  <si>
    <t>CG8680</t>
  </si>
  <si>
    <t>NADH-UBIQUINONE OXIDOREDUCTASE 13 KDA-A SUBUNIT</t>
  </si>
  <si>
    <t>CG6020</t>
  </si>
  <si>
    <t>NADH-UBIQUINONE OXIDOREDUCTASE 39 KDA SUBUNIT</t>
  </si>
  <si>
    <t>ND23</t>
  </si>
  <si>
    <t>NADH-UBIQUINONE OXIDOREDUCTASE 23 KDA SUBUNIT</t>
  </si>
  <si>
    <t>CG12203</t>
  </si>
  <si>
    <t>NADH-UBIQUINONE OXIDOREDUCTASE 18 KDA SUBUNIT</t>
  </si>
  <si>
    <t>CG15434</t>
  </si>
  <si>
    <t>NADH-UBIQUINONE OXIDOREDUCTASE B8 SUBUNIT</t>
  </si>
  <si>
    <t>CG6463</t>
  </si>
  <si>
    <t>NADH-UBIQUINONE OXIDOREDUCTASE 13 KDA-B SUBUNIT"</t>
  </si>
  <si>
    <t>CG7712</t>
  </si>
  <si>
    <t>NADH-UBIQUINONE OXIDOREDUCTASE B14 SUBUNIT</t>
  </si>
  <si>
    <t>CG3621</t>
  </si>
  <si>
    <t>NADH-UBIQUINONE OXIDOREDUCTASE SUBUNIT B14.5A</t>
  </si>
  <si>
    <t>CG11455</t>
  </si>
  <si>
    <t>NADH-UBIQUINONE OXIDOREDUCTASE 15 KDA SUBUNIT</t>
  </si>
  <si>
    <t>CG3683</t>
  </si>
  <si>
    <t>NADH-UBIQUINONE OXIDOREDUCTASE 19 KDA SUBUNIT</t>
  </si>
  <si>
    <t>CG2014</t>
  </si>
  <si>
    <t>CG6485</t>
  </si>
  <si>
    <t>ND42</t>
  </si>
  <si>
    <t>NADH-UBIQUINONE OXIDOREDUCTASE 42 KDA SUBUNIT</t>
  </si>
  <si>
    <t>CG11913</t>
  </si>
  <si>
    <t>CG8102</t>
  </si>
  <si>
    <t>CG3192</t>
  </si>
  <si>
    <t>NADH-UBIQUINONE OXIDOREDUCTASE ASHI SUBUNIT</t>
  </si>
  <si>
    <t>CG10320</t>
  </si>
  <si>
    <t>NADH-UBIQUINONE OXIDOREDUCTASE B12 SUBUNIT</t>
  </si>
  <si>
    <t>CG12859</t>
  </si>
  <si>
    <t>NADH-UBIQUINONE OXIDOREDUCTASE B15 SUBUNIT</t>
  </si>
  <si>
    <t>CG3446</t>
  </si>
  <si>
    <t>NADH-UBIQUINONE OXIDOREDUCTASE B16.6 SUBUNIT</t>
  </si>
  <si>
    <t>CG13240</t>
  </si>
  <si>
    <t>NADH-UBIQUINONE OXIDOREDUCTASE B17 SUBUNIT</t>
  </si>
  <si>
    <t>CG5548</t>
  </si>
  <si>
    <t>NADH-UBIQUINONE OXIDOREDUCTASE B18 SUBUNIT</t>
  </si>
  <si>
    <t>CG9306</t>
  </si>
  <si>
    <t>NADH-UBIQUINONE OXIDOREDUCTASE B22 SUBUNIT</t>
  </si>
  <si>
    <t>CG32230</t>
  </si>
  <si>
    <t>NADH-UBIQUINONE OXIDOREDUCTASE MLRQ SUBUNIT</t>
  </si>
  <si>
    <t>CG18624</t>
  </si>
  <si>
    <t>NADH-UBIQUINONE OXIDOREDUCTASE MNLL SUBUNIT</t>
  </si>
  <si>
    <t>Pdsw</t>
  </si>
  <si>
    <t>NADH-UBIQUINONE OXIDOREDUCTASE PDSW SUBUNIT</t>
  </si>
  <si>
    <t>CG9762</t>
  </si>
  <si>
    <t>NADH-UBIQUINONE OXIDOREDUCTASE SGDH SUBUNIT</t>
  </si>
  <si>
    <t>CG12400</t>
  </si>
  <si>
    <t>NADH-UBIQUINONE OXIDOREDUCTASE SUBUNIT B14.5B</t>
  </si>
  <si>
    <t>mtACP1</t>
  </si>
  <si>
    <t>NADH-UBIQUINONE OXIDOREDUCTASE, ACYL CARRIER</t>
  </si>
  <si>
    <t>Oxidative phosphorilation Complex II</t>
  </si>
  <si>
    <t>SdhB</t>
  </si>
  <si>
    <t>SUCCINATE DEHYDROGENASE [UBIQUINONE] IRON-SULFUR</t>
  </si>
  <si>
    <t>evm.model.ptg000044l_1.577</t>
  </si>
  <si>
    <t>8128.ENSONIP00000023812</t>
  </si>
  <si>
    <t>1.4e-131</t>
  </si>
  <si>
    <t>431.2</t>
  </si>
  <si>
    <t>COG0479@1|root,KOG3049@2759|Eukaryota,38CDD@33154|Opisthokonta,3BA88@33208|Metazoa,3CY46@33213|Bilateria,48AF3@7711|Chordata,496XX@7742|Vertebrata,49WMH@7898|Actinopterygii</t>
  </si>
  <si>
    <t>Iron-sulfur protein (IP) subunit of succinate dehydrogenase (SDH) that is involved in complex II of the mitochondrial electron transport chain and is responsible for transferring electrons from succinate to ubiquinone (coenzyme Q)</t>
  </si>
  <si>
    <t>SDHB</t>
  </si>
  <si>
    <t>GO:0000104,GO:0003674,GO:0003824,GO:0005488,GO:0005575,GO:0005622,GO:0005623,GO:0005634,GO:0005654,GO:0005737,GO:0005739,GO:0005740,GO:0005743,GO:0005746,GO:0005749,GO:0005886,GO:0006082,GO:0006091,GO:0006099,GO:0006101,GO:0006105,GO:0006119,GO:0006121,GO:0006139,GO:0006163,GO:0006725,GO:0006753,GO:0006793,GO:0006796,GO:0006807,GO:0008150,GO:0008152,GO:0008177,GO:0009060,GO:0009117,GO:0009123,GO:0009126,GO:0009141,GO:0009144,GO:0009150,GO:0009161,GO:0009167,GO:0009199,GO:0009205,GO:0009259,GO:0009987,GO:0015980,GO:0016020,GO:0016310,GO:0016491,GO:0016627,GO:0016635,GO:0016999,GO:0017144,GO:0019637,GO:0019693,GO:0019752,GO:0019866,GO:0022900,GO:0022904,GO:0031090,GO:0031966,GO:0031967,GO:0031974,GO:0031975,GO:0031981,GO:0032991,GO:0034641,GO:0042773,GO:0042775,GO:0043226,GO:0043227,GO:0043229,GO:0043231,GO:0043233,GO:0043436,GO:0043648,GO:0044237,GO:0044238,GO:0044281,GO:0044422,GO:0044424,GO:0044425,GO:0044428,GO:0044429,GO:0044444,GO:0044446,GO:0044455,GO:0044464,GO:0045257,GO:0045273,GO:0045281,GO:0045283,GO:0045333,GO:0046034,GO:0046483,GO:0048037,GO:0048038,GO:0048039,GO:0051536,GO:0051537,GO:0051538,GO:0051539,GO:0051540,GO:0055086,GO:0055114,GO:0070013,GO:0070469,GO:0071704,GO:0071944,GO:0072350,GO:0072521,GO:0098796,GO:0098798,GO:0098800,GO:0098803,GO:1901135,GO:1901360,GO:1901564,GO:1902494,GO:1990204</t>
  </si>
  <si>
    <t>1.3.5.1</t>
  </si>
  <si>
    <t>ko:K00235</t>
  </si>
  <si>
    <t>ko00020,ko00190,ko01100,ko01110,ko01120,ko01130,ko01200,ko04714,ko04932,ko05010,ko05012,ko05016,map00020,map00190,map01100,map01110,map01120,map01130,map01200,map04714,map04932,map05010,map05012,map05016</t>
  </si>
  <si>
    <t>M00009,M00011,M00148</t>
  </si>
  <si>
    <t>R02164</t>
  </si>
  <si>
    <t>RC00045</t>
  </si>
  <si>
    <t>Fer2_3,Fer4_17</t>
  </si>
  <si>
    <t>CG5705</t>
  </si>
  <si>
    <t>SUCCINATE DEHYDROGENASE [UBIQUINONE]</t>
  </si>
  <si>
    <t>CG6666</t>
  </si>
  <si>
    <t>CG10219</t>
  </si>
  <si>
    <t>SUCCINATE DEHYDROGENASE [UBIQUINONE] CYTOCHROME</t>
  </si>
  <si>
    <t>Oxidative phosphorilation Complex III</t>
  </si>
  <si>
    <t>CG17856</t>
  </si>
  <si>
    <t>UBIQUINOL-CYTOCHROME C REDUCTASE COMPLEX 14 KDA</t>
  </si>
  <si>
    <t>CG4169</t>
  </si>
  <si>
    <t>UBIQUINOL-CYTOCHROME C REDUCTASE COMPLEX CORE</t>
  </si>
  <si>
    <t>CG3731</t>
  </si>
  <si>
    <t>MITOCHONDRIAL PROCESSING PEPTIDASE BETA</t>
  </si>
  <si>
    <t>CG4769</t>
  </si>
  <si>
    <t>CYTOCHROME C1,HEME PROTEIN</t>
  </si>
  <si>
    <t>CG7580</t>
  </si>
  <si>
    <t>UBIQUINOL-CYTOCHROME C REDUCTASE COMPLEX</t>
  </si>
  <si>
    <t>Ucrh</t>
  </si>
  <si>
    <t>UBIQUINOL-CYTOCHROME C REDUCTASE COMPLEX 11 KDA</t>
  </si>
  <si>
    <t>CG14482</t>
  </si>
  <si>
    <t>UBIQUINOL-CYTOCHROME C REDUCTASE COMPLEX 6.4 KDA</t>
  </si>
  <si>
    <t>ox</t>
  </si>
  <si>
    <t>UBIQUINOL-CYTOCHROME C REDUCTASE COMPLEX 7.2 KDA</t>
  </si>
  <si>
    <t>Oxidative phosphorilation Complex IV</t>
  </si>
  <si>
    <t>CoVa</t>
  </si>
  <si>
    <t>CYTOCHROME C OXIDASE POLYPEPTIDE VA</t>
  </si>
  <si>
    <t>CG10664</t>
  </si>
  <si>
    <t>CYTOCHROME C OXIDASE POLYPEPTIDE IV</t>
  </si>
  <si>
    <t>CG10396</t>
  </si>
  <si>
    <t>CG11043</t>
  </si>
  <si>
    <t>CYTOCHROME C OXIDASE POLYPEPTIDE VB</t>
  </si>
  <si>
    <t>CG11015</t>
  </si>
  <si>
    <t>CYTOCHROME C OXIDASE POLYPEPTIDE VB"</t>
  </si>
  <si>
    <t>CG17280</t>
  </si>
  <si>
    <t>CYTOCHROME C OXIDASE POLYPEPTIDE VIA"</t>
  </si>
  <si>
    <t>CG18809</t>
  </si>
  <si>
    <t>CYTOCHROME C OXIDASE POLYPEPTIDE VIB</t>
  </si>
  <si>
    <t>cype</t>
  </si>
  <si>
    <t>CYTOCHROME C OXIDASE POLYPEPTIDE VIC"</t>
  </si>
  <si>
    <t>CG18193</t>
  </si>
  <si>
    <t>CYTOCHROME C OXIDASE POLYPEPTIDE VIIA</t>
  </si>
  <si>
    <t>CG9603</t>
  </si>
  <si>
    <t>CG2249</t>
  </si>
  <si>
    <t>CYTOCHROME C OXIDASE POLYPEPTIDE VIIC</t>
  </si>
  <si>
    <t>Oxidative phosphorilation Complex V</t>
  </si>
  <si>
    <t>blw</t>
  </si>
  <si>
    <t>ATP SYNTHASE ALPHA CHAIN"</t>
  </si>
  <si>
    <t>CG2968</t>
  </si>
  <si>
    <t>ATP SYNTHASE DELTA CHAIN (by similarity)</t>
  </si>
  <si>
    <t>Oscp</t>
  </si>
  <si>
    <t>ATP SYNTHASE OLIGOMYCIN SENSITIVITY</t>
  </si>
  <si>
    <t>CG7598</t>
  </si>
  <si>
    <t>ATP SYNTHASE GAMMA CHAIN"</t>
  </si>
  <si>
    <t>ATP SYNTHASE B CHAIN</t>
  </si>
  <si>
    <t>CG3321</t>
  </si>
  <si>
    <t>ATP SYNTHASE B CHAIN (by similarity)</t>
  </si>
  <si>
    <t>CG5389</t>
  </si>
  <si>
    <t>ATP SYNTHASE BETA CHAIN (by similarity)</t>
  </si>
  <si>
    <t>ATP SYNTHASE COUPLING FACTOR 6"</t>
  </si>
  <si>
    <t>ATP SYNTHASE D CHAIN</t>
  </si>
  <si>
    <t>sun</t>
  </si>
  <si>
    <t>ATP SYNTHASE EPSILON CHAIN</t>
  </si>
  <si>
    <t>CG12810</t>
  </si>
  <si>
    <t>ATP SYNTHASE EPSILON CHAIN (by similarity)</t>
  </si>
  <si>
    <t>CG4692</t>
  </si>
  <si>
    <t>ATP SYNTHASE F CHAIN (by similarity)</t>
  </si>
  <si>
    <t>EfTuM</t>
  </si>
  <si>
    <t>ATP SYNTHASE G CHAIN"</t>
  </si>
  <si>
    <t>Oxidative phosphorylation others</t>
  </si>
  <si>
    <t>CG8885</t>
  </si>
  <si>
    <t>SCO1 PROTEIN HOMOLOG</t>
  </si>
  <si>
    <t>Surf1</t>
  </si>
  <si>
    <t>10 KDA HEAT SHOCK PROTEIN</t>
  </si>
  <si>
    <t>evm.model.ptg000012l_1.1612</t>
  </si>
  <si>
    <t>34740.HMEL002821-PA</t>
  </si>
  <si>
    <t>3.4e-22</t>
  </si>
  <si>
    <t>72.3</t>
  </si>
  <si>
    <t>COG3346@1|root,KOG1563@2759|Eukaryota,39DSM@33154|Opisthokonta,3BGJW@33208|Metazoa,3CU01@33213|Bilateria,41YS8@6656|Arthropoda,3SKZA@50557|Insecta,44490@7088|Lepidoptera</t>
  </si>
  <si>
    <t>Probably involved in the biogenesis of the COX complex</t>
  </si>
  <si>
    <t>SURF1</t>
  </si>
  <si>
    <t>GO:0002164,GO:0002165,GO:0002168,GO:0003674,GO:0003824,GO:0004129,GO:0005215,GO:0005575,GO:0005622,GO:0005623,GO:0005737,GO:0005739,GO:0005740,GO:0005743,GO:0005746,GO:0006091,GO:0006119,GO:0006139,GO:0006163,GO:0006164,GO:0006725,GO:0006753,GO:0006754,GO:0006793,GO:0006796,GO:0006807,GO:0006810,GO:0006811,GO:0006812,GO:0006996,GO:0007005,GO:0007275,GO:0007610,GO:0007632,GO:0008150,GO:0008152,GO:0008324,GO:0008535,GO:0009055,GO:0009058,GO:0009060,GO:0009117,GO:0009123,GO:0009124,GO:0009126,GO:0009127,GO:0009141,GO:0009142,GO:0009144,GO:0009145,GO:0009150,GO:0009152,GO:0009156,GO:0009161,GO:0009165,GO:0009167,GO:0009168,GO:0009199,GO:0009201,GO:0009205,GO:0009206,GO:0009259,GO:0009260,GO:0009314,GO:0009416,GO:0009453,GO:0009605,GO:0009628,GO:0009791,GO:0009987,GO:0015002,GO:0015075,GO:0015077,GO:0015078,GO:0015318,GO:0015672,GO:0015980,GO:0016020,GO:0016043,GO:0016310,GO:0016491,GO:0016675,GO:0016676,GO:0017004,GO:0017144,GO:0018130,GO:0019438,GO:0019637,GO:0019693,GO:0019866,GO:0022607,GO:0022857,GO:0022890,GO:0022900,GO:0031090,GO:0031966,GO:0031967,GO:0031975,GO:0032501,GO:0032502,GO:0033108,GO:0033617,GO:0034220,GO:0034622,GO:0034641,GO:0034654,GO:0040011,GO:0042330,GO:0042331,GO:0043226,GO:0043227,GO:0043229,GO:0043231,GO:0043933,GO:0044085,GO:0044237,GO:0044238,GO:0044249,GO:0044271,GO:0044281,GO:0044422,GO:0044424,GO:0044425,GO:0044429,GO:0044444,GO:0044446,GO:0044455,GO:0044464,GO:0045333,GO:0046034,GO:0046390,GO:0046483,GO:0048856,GO:0050896,GO:0051179,GO:0051234,GO:0055085,GO:0055086,GO:0055114,GO:0065003,GO:0070469,GO:0071704,GO:0071840,GO:0072521,GO:0072522,GO:0090407,GO:0098655,GO:0098660,GO:0098662,GO:1901135,GO:1901137,GO:1901293,GO:1901360,GO:1901362,GO:1901564,GO:1901566,GO:1901576,GO:1902600</t>
  </si>
  <si>
    <t>ko:K14998</t>
  </si>
  <si>
    <t>3.D.4.8</t>
  </si>
  <si>
    <t>SURF1,SURF4</t>
  </si>
  <si>
    <t>evm.model.ptg000022l_1.228</t>
  </si>
  <si>
    <t>400682.PAC_15718156</t>
  </si>
  <si>
    <t>2.2e-08</t>
  </si>
  <si>
    <t>COG3346@1|root,KOG1563@2759|Eukaryota,39DSM@33154|Opisthokonta,3BGJW@33208|Metazoa</t>
  </si>
  <si>
    <t>GO:0002164,GO:0002165,GO:0002168,GO:0005575,GO:0005622,GO:0005623,GO:0005737,GO:0005739,GO:0005740,GO:0005743,GO:0006996,GO:0007005,GO:0007275,GO:0007610,GO:0007632,GO:0008150,GO:0008535,GO:0009314,GO:0009416,GO:0009453,GO:0009605,GO:0009628,GO:0009791,GO:0009987,GO:0016020,GO:0016043,GO:0017004,GO:0019866,GO:0022607,GO:0031090,GO:0031966,GO:0031967,GO:0031975,GO:0032501,GO:0032502,GO:0033108,GO:0033617,GO:0034622,GO:0040011,GO:0042330,GO:0042331,GO:0043226,GO:0043227,GO:0043229,GO:0043231,GO:0043933,GO:0044085,GO:0044422,GO:0044424,GO:0044429,GO:0044444,GO:0044446,GO:0044464,GO:0048856,GO:0050896,GO:0065003,GO:0071840</t>
  </si>
  <si>
    <t>CG5037</t>
  </si>
  <si>
    <t>PROTOHEME IX FARNESYLTRANSFERASE</t>
  </si>
  <si>
    <t>CG6922</t>
  </si>
  <si>
    <t>CYTOCHROME C OXIDASE ASSEMBLY PROTEIN COX11"</t>
  </si>
  <si>
    <t>CG12140</t>
  </si>
  <si>
    <t>ELECTRON TRANSFER FLAVOPROTEIN-UBIQUINONE OXIDOREDUCTASE"</t>
  </si>
  <si>
    <t>CYTOCHROME OXIDASE BIOGENESIS PROTEIN OXA1</t>
  </si>
  <si>
    <t>CG7834</t>
  </si>
  <si>
    <t>ELECTRON TRANSFER FLAVOPROTEIN BETA CHAIN</t>
  </si>
  <si>
    <t>COMPLEX I INTERMEDIATE-ASSOCIATED PROTEIN 30</t>
  </si>
  <si>
    <t>wal</t>
  </si>
  <si>
    <t>ELECTRON TRANSFER FLAVOPROTEIN ALPHA-SUBUNIT"</t>
  </si>
  <si>
    <t>CG10731</t>
  </si>
  <si>
    <t>ATP SYNTHASE COUPLING FACTOR B"</t>
  </si>
  <si>
    <t>CG9065</t>
  </si>
  <si>
    <t>CYTOCHROME C OXIDASE COPPER CHAPERONE</t>
  </si>
  <si>
    <t>CYTOCHROME C"</t>
  </si>
  <si>
    <t>Protein folding and stabilization</t>
  </si>
  <si>
    <t>Hsp60</t>
  </si>
  <si>
    <t>60 KDA HEAT SHOCK PROTEIN</t>
  </si>
  <si>
    <t>CG11267</t>
  </si>
  <si>
    <t>Roe1</t>
  </si>
  <si>
    <t>GRPE PROTEIN HOMOLOG 2</t>
  </si>
  <si>
    <t>CG8542</t>
  </si>
  <si>
    <t>MITOCHONDRIAL STRESS-70 PROTEIN</t>
  </si>
  <si>
    <t>CG9920</t>
  </si>
  <si>
    <t>Protein targeting sorting and translocation</t>
  </si>
  <si>
    <t>Tom40</t>
  </si>
  <si>
    <t>PROBABLE MITOCHONDRIAL IMPORT RECEPTOR SUBUNIT</t>
  </si>
  <si>
    <t>CG7654</t>
  </si>
  <si>
    <t>IMPORT RECEPTOR SUBUNIT TOM20 HOMOLOG</t>
  </si>
  <si>
    <t>Tim8</t>
  </si>
  <si>
    <t>IMPORT INNER MEMBRANE TRANSLOCASE SUBUNIT TIM8</t>
  </si>
  <si>
    <t>evm.model.ptg000019l_1.1062</t>
  </si>
  <si>
    <t>10228.TriadP24994</t>
  </si>
  <si>
    <t>54.9</t>
  </si>
  <si>
    <t>KOG3489@1|root,KOG3489@2759|Eukaryota,3A8VF@33154|Opisthokonta,3BSM6@33208|Metazoa</t>
  </si>
  <si>
    <t>U</t>
  </si>
  <si>
    <t>metal ion transmembrane transporter activity</t>
  </si>
  <si>
    <t>TIMM8B</t>
  </si>
  <si>
    <t>GO:0003674,GO:0005215,GO:0005575,GO:0005622,GO:0005623,GO:0005737,GO:0005739,GO:0005740,GO:0005743,GO:0005744,GO:0006605,GO:0006626,GO:0006810,GO:0006811,GO:0006812,GO:0006839,GO:0006886,GO:0006996,GO:0007005,GO:0008104,GO:0008150,GO:0008320,GO:0008324,GO:0008565,GO:0009987,GO:0015031,GO:0015075,GO:0015318,GO:0015399,GO:0015405,GO:0015450,GO:0015833,GO:0016020,GO:0016043,GO:0019866,GO:0022804,GO:0022857,GO:0022884,GO:0022890,GO:0030001,GO:0031090,GO:0031966,GO:0031967,GO:0031975,GO:0032991,GO:0033036,GO:0033365,GO:0034220,GO:0034613,GO:0042886,GO:0042887,GO:0043226,GO:0043227,GO:0043229,GO:0043231,GO:0044422,GO:0044424,GO:0044425,GO:0044429,GO:0044444,GO:0044446,GO:0044455,GO:0044464,GO:0045184,GO:0046873,GO:0046907,GO:0051179,GO:0051234,GO:0051641,GO:0051649,GO:0055085,GO:0070585,GO:0070727,GO:0071702,GO:0071705,GO:0071806,GO:0071840,GO:0072594,GO:0072655,GO:0098655,GO:0098796,GO:0098798,GO:0098800,GO:1904680</t>
  </si>
  <si>
    <t>ko:K17780</t>
  </si>
  <si>
    <t>ko00000,ko02000,ko03029</t>
  </si>
  <si>
    <t>3.A.8.1</t>
  </si>
  <si>
    <t>zf-Tim10_DDP</t>
  </si>
  <si>
    <t>Tim10</t>
  </si>
  <si>
    <t>IMPORT INNER MEMBRANE TRANSLOCASE SUBUNIT TIM10</t>
  </si>
  <si>
    <t>evm.model.ptg000022l_1.1145</t>
  </si>
  <si>
    <t>400682.PAC_15716397</t>
  </si>
  <si>
    <t>1.5e-39</t>
  </si>
  <si>
    <t>126.7</t>
  </si>
  <si>
    <t>KOG3480@1|root,KOG3480@2759|Eukaryota,3A8N1@33154|Opisthokonta,3BRE2@33208|Metazoa</t>
  </si>
  <si>
    <t>protein import into mitochondrial inner membrane</t>
  </si>
  <si>
    <t>TIMM10</t>
  </si>
  <si>
    <t>GO:0000003,GO:0003008,GO:0003674,GO:0005215,GO:0005488,GO:0005515,GO:0005575,GO:0005622,GO:0005623,GO:0005737,GO:0005739,GO:0005740,GO:0005743,GO:0005744,GO:0005758,GO:0006605,GO:0006626,GO:0006810,GO:0006839,GO:0006886,GO:0006996,GO:0007005,GO:0007006,GO:0007007,GO:0007600,GO:0007605,GO:0008104,GO:0008150,GO:0008270,GO:0008565,GO:0009987,GO:0015031,GO:0015833,GO:0016020,GO:0016043,GO:0017038,GO:0019866,GO:0031090,GO:0031966,GO:0031967,GO:0031970,GO:0031974,GO:0031975,GO:0032501,GO:0032991,GO:0033036,GO:0033365,GO:0034613,GO:0040008,GO:0040014,GO:0042719,GO:0042802,GO:0042803,GO:0042886,GO:0043167,GO:0043169,GO:0043226,GO:0043227,GO:0043229,GO:0043231,GO:0043233,GO:0044422,GO:0044424,GO:0044425,GO:0044429,GO:0044444,GO:0044446,GO:0044455,GO:0044464,GO:0044743,GO:0045039,GO:0045184,GO:0046872,GO:0046907,GO:0046914,GO:0046983,GO:0048638,GO:0050789,GO:0050793,GO:0050877,GO:0050954,GO:0051087,GO:0051179,GO:0051234,GO:0051239,GO:0051641,GO:0051649,GO:0055085,GO:0061024,GO:0065002,GO:0065007,GO:0070013,GO:0070585,GO:0070727,GO:0071702,GO:0071705,GO:0071806,GO:0071840,GO:0072321,GO:0072594,GO:0072655,GO:0072657,GO:0090150,GO:0090151,GO:0098796,GO:0098798,GO:0098800,GO:1990351,GO:1990542</t>
  </si>
  <si>
    <t>ko:K17778</t>
  </si>
  <si>
    <t>evm.model.ptg000044l_1.530</t>
  </si>
  <si>
    <t>7994.ENSAMXP00000009027</t>
  </si>
  <si>
    <t>9.8e-17</t>
  </si>
  <si>
    <t>54.1</t>
  </si>
  <si>
    <t>KOG3479@1|root,KOG3479@2759|Eukaryota,3A98P@33154|Opisthokonta,3BS0D@33208|Metazoa,3D9VX@33213|Bilateria,48F9T@7711|Chordata,49C5I@7742|Vertebrata,4A4MW@7898|Actinopterygii</t>
  </si>
  <si>
    <t>Translocase of inner mitochondrial membrane 10 homolog B (yeast)</t>
  </si>
  <si>
    <t>TIMM10B</t>
  </si>
  <si>
    <t>GO:0001666,GO:0003674,GO:0005215,GO:0005575,GO:0005622,GO:0005623,GO:0005737,GO:0005739,GO:0005740,GO:0005743,GO:0005744,GO:0005758,GO:0006605,GO:0006626,GO:0006810,GO:0006839,GO:0006886,GO:0006950,GO:0006996,GO:0007005,GO:0007155,GO:0007160,GO:0008104,GO:0008150,GO:0008320,GO:0008565,GO:0009628,GO:0009987,GO:0015031,GO:0015399,GO:0015405,GO:0015450,GO:0015833,GO:0016020,GO:0016043,GO:0019866,GO:0022610,GO:0022804,GO:0022857,GO:0022884,GO:0031090,GO:0031589,GO:0031966,GO:0031967,GO:0031970,GO:0031974,GO:0031975,GO:0032991,GO:0033036,GO:0033365,GO:0033554,GO:0034613,GO:0036293,GO:0036294,GO:0042221,GO:0042719,GO:0042721,GO:0042886,GO:0042887,GO:0043226,GO:0043227,GO:0043229,GO:0043231,GO:0043233,GO:0044422,GO:0044424,GO:0044425,GO:0044429,GO:0044444,GO:0044446,GO:0044455,GO:0044464,GO:0045184,GO:0046907,GO:0050896,GO:0051179,GO:0051234,GO:0051641,GO:0051649,GO:0051716,GO:0055085,GO:0070013,GO:0070482,GO:0070585,GO:0070727,GO:0070887,GO:0071453,GO:0071456,GO:0071702,GO:0071705,GO:0071806,GO:0071840,GO:0072594,GO:0072655,GO:0098796,GO:0098798,GO:0098800,GO:1904680,GO:1990351</t>
  </si>
  <si>
    <t>ko:K17779</t>
  </si>
  <si>
    <t>CG31229</t>
  </si>
  <si>
    <t>IMPORT INNER MEMBRANE TRANSLOCASE SUBUNIT TIM22</t>
  </si>
  <si>
    <t>evm.model.ptg000010l_1.463</t>
  </si>
  <si>
    <t>118797.XP_007454305.1</t>
  </si>
  <si>
    <t>3.8e-45</t>
  </si>
  <si>
    <t>147.4</t>
  </si>
  <si>
    <t>COG5596@1|root,KOG3225@2759|Eukaryota,399KS@33154|Opisthokonta,3BHYP@33208|Metazoa,3CTDU@33213|Bilateria,489IP@7711|Chordata,48WVI@7742|Vertebrata,3J5GP@40674|Mammalia,4IZX0@91561|Cetartiodactyla</t>
  </si>
  <si>
    <t>Translocase of inner mitochondrial membrane 22</t>
  </si>
  <si>
    <t>TIMM22</t>
  </si>
  <si>
    <t>GO:0003674,GO:0005048,GO:0005215,GO:0005488,GO:0005575,GO:0005622,GO:0005623,GO:0005737,GO:0005739,GO:0005740,GO:0005743,GO:0005744,GO:0006605,GO:0006626,GO:0006810,GO:0006839,GO:0006886,GO:0006996,GO:0007005,GO:0007006,GO:0007007,GO:0008104,GO:0008150,GO:0008320,GO:0008565,GO:0009987,GO:0015031,GO:0015399,GO:0015405,GO:0015450,GO:0015833,GO:0016020,GO:0016043,GO:0017038,GO:0019866,GO:0022804,GO:0022857,GO:0022884,GO:0030943,GO:0031090,GO:0031966,GO:0031967,GO:0031975,GO:0032991,GO:0033036,GO:0033218,GO:0033365,GO:0034613,GO:0042277,GO:0042721,GO:0042886,GO:0042887,GO:0043226,GO:0043227,GO:0043229,GO:0043231,GO:0044422,GO:0044424,GO:0044425,GO:0044429,GO:0044444,GO:0044446,GO:0044455,GO:0044464,GO:0044743,GO:0045039,GO:0045184,GO:0046907,GO:0051179,GO:0051234,GO:0051641,GO:0051649,GO:0055085,GO:0061024,GO:0065002,GO:0070585,GO:0070727,GO:0071702,GO:0071705,GO:0071806,GO:0071840,GO:0072594,GO:0072655,GO:0072657,GO:0090150,GO:0090151,GO:0098796,GO:0098798,GO:0098800,GO:1904680,GO:1990542</t>
  </si>
  <si>
    <t>ko:K17790</t>
  </si>
  <si>
    <t>Tim17</t>
  </si>
  <si>
    <t>CG6756</t>
  </si>
  <si>
    <t>MITOCHONDRIAL PRECURSOR PROTEINS IMPORT</t>
  </si>
  <si>
    <t>CG11779</t>
  </si>
  <si>
    <t>IMPORT INNER MEMBRANE TRANSLOCASE SUBUNIT TIM44</t>
  </si>
  <si>
    <t>evm.model.ptg000009l_1.482</t>
  </si>
  <si>
    <t>10228.TriadP54556</t>
  </si>
  <si>
    <t>3.4e-83</t>
  </si>
  <si>
    <t>272.9</t>
  </si>
  <si>
    <t>KOG2580@1|root,KOG2580@2759|Eukaryota,38HHZ@33154|Opisthokonta,3BEUK@33208|Metazoa</t>
  </si>
  <si>
    <t>protein import into mitochondrial matrix</t>
  </si>
  <si>
    <t>TIMM44</t>
  </si>
  <si>
    <t>GO:0001101,GO:0001666,GO:0003674,GO:0005215,GO:0005488,GO:0005515,GO:0005575,GO:0005622,GO:0005623,GO:0005737,GO:0005739,GO:0005740,GO:0005743,GO:0005744,GO:0005759,GO:0006605,GO:0006626,GO:0006810,GO:0006839,GO:0006886,GO:0006950,GO:0006996,GO:0007005,GO:0007275,GO:0007507,GO:0008104,GO:0008150,GO:0008320,GO:0008565,GO:0009628,GO:0009719,GO:0009725,GO:0009888,GO:0009987,GO:0010033,GO:0010243,GO:0014070,GO:0014706,GO:0015031,GO:0015399,GO:0015405,GO:0015450,GO:0015833,GO:0016020,GO:0016043,GO:0017038,GO:0019866,GO:0019899,GO:0022804,GO:0022857,GO:0022884,GO:0030150,GO:0030154,GO:0031090,GO:0031966,GO:0031967,GO:0031974,GO:0031975,GO:0032501,GO:0032502,GO:0032991,GO:0033036,GO:0033365,GO:0033554,GO:0034613,GO:0035051,GO:0036293,GO:0036294,GO:0042221,GO:0042692,GO:0042886,GO:0042887,GO:0043200,GO:0043226,GO:0043227,GO:0043229,GO:0043231,GO:0043233,GO:0044422,GO:0044424,GO:0044425,GO:0044429,GO:0044444,GO:0044446,GO:0044455,GO:0044464,GO:0044743,GO:0045184,GO:0046907,GO:0048513,GO:0048731,GO:0048738,GO:0048856,GO:0048869,GO:0050896,GO:0051087,GO:0051146,GO:0051179,GO:0051234,GO:0051641,GO:0051649,GO:0051716,GO:0055007,GO:0055085,GO:0060537,GO:0061061,GO:0065002,GO:0070013,GO:0070482,GO:0070585,GO:0070727,GO:0070887,GO:0071453,GO:0071456,GO:0071702,GO:0071705,GO:0071806,GO:0071840,GO:0072359,GO:0072594,GO:0072655,GO:0097066,GO:0098796,GO:0098798,GO:0098800,GO:1901698,GO:1901700,GO:1904680,GO:1905242,GO:1990542</t>
  </si>
  <si>
    <t>ko:K17804</t>
  </si>
  <si>
    <t>Tim44</t>
  </si>
  <si>
    <t>Tim9b</t>
  </si>
  <si>
    <t>IMPORT INNER MEMBRANE TRANSLOCASE SUBUNIT</t>
  </si>
  <si>
    <t>evm.model.ptg000031l_1.516</t>
  </si>
  <si>
    <t>7209.EFO21941.1</t>
  </si>
  <si>
    <t>6.7e-29</t>
  </si>
  <si>
    <t>93.0</t>
  </si>
  <si>
    <t>KOG3479@1|root,KOG3479@2759|Eukaryota,3A3QW@33154|Opisthokonta,3BRV2@33208|Metazoa,3D852@33213|Bilateria,40GWU@6231|Nematoda,1KZMM@119089|Chromadorea</t>
  </si>
  <si>
    <t>Mitochondrial intermembrane chaperone that participates in the import and insertion of multi-pass transmembrane proteins into the mitochondrial inner membrane. May also be required for the transfer of beta-barrel precursors from the TOM complex to the sorting and assembly machinery (SAM complex) of the outer membrane. Acts as a chaperone-like protein that protects the hydrophobic precursors from aggregation and guide them through the mitochondrial intermembrane space</t>
  </si>
  <si>
    <t>TIMM9</t>
  </si>
  <si>
    <t>GO:0000003,GO:0003008,GO:0003674,GO:0005215,GO:0005488,GO:0005515,GO:0005575,GO:0005622,GO:0005623,GO:0005737,GO:0005739,GO:0005740,GO:0005743,GO:0005744,GO:0005758,GO:0006605,GO:0006626,GO:0006810,GO:0006839,GO:0006886,GO:0006996,GO:0007005,GO:0007006,GO:0007007,GO:0007600,GO:0007605,GO:0008104,GO:0008150,GO:0008270,GO:0008320,GO:0008565,GO:0009987,GO:0015031,GO:0015399,GO:0015405,GO:0015450,GO:0015833,GO:0016020,GO:0016043,GO:0017038,GO:0019866,GO:0022804,GO:0022857,GO:0022884,GO:0031090,GO:0031966,GO:0031967,GO:0031970,GO:0031974,GO:0031975,GO:0032501,GO:0032991,GO:0033036,GO:0033365,GO:0034613,GO:0040008,GO:0040014,GO:0042719,GO:0042721,GO:0042802,GO:0042803,GO:0042886,GO:0042887,GO:0043167,GO:0043169,GO:0043226,GO:0043227,GO:0043229,GO:0043231,GO:0043233,GO:0044422,GO:0044424,GO:0044425,GO:0044429,GO:0044444,GO:0044446,GO:0044455,GO:0044464,GO:0044743,GO:0045039,GO:0045184,GO:0046872,GO:0046907,GO:0046914,GO:0046983,GO:0048638,GO:0050789,GO:0050793,GO:0050877,GO:0050954,GO:0051087,GO:0051179,GO:0051234,GO:0051239,GO:0051641,GO:0051649,GO:0055085,GO:0061024,GO:0065002,GO:0065007,GO:0070013,GO:0070585,GO:0070727,GO:0071702,GO:0071705,GO:0071806,GO:0071840,GO:0072321,GO:0072594,GO:0072655,GO:0072657,GO:0090150,GO:0090151,GO:0098796,GO:0098798,GO:0098800,GO:1904680,GO:1990351,GO:1990542</t>
  </si>
  <si>
    <t>ko:K17777</t>
  </si>
  <si>
    <t>Tim17b2</t>
  </si>
  <si>
    <t>evm.model.ptg000030l_1.1371</t>
  </si>
  <si>
    <t>215358.XP_010745597.1</t>
  </si>
  <si>
    <t>9.1e-26</t>
  </si>
  <si>
    <t>COG5596@1|root,KOG1652@2759|Eukaryota,39V99@33154|Opisthokonta,3B9F3@33208|Metazoa,3D0IA@33213|Bilateria,47ZIJ@7711|Chordata,48Z45@7742|Vertebrata,4A018@7898|Actinopterygii</t>
  </si>
  <si>
    <t>Translocase of inner mitochondrial membrane 17 homolog B (yeast)</t>
  </si>
  <si>
    <t>TIMM17B</t>
  </si>
  <si>
    <t>GO:0003674,GO:0005215,GO:0005575,GO:0005622,GO:0005623,GO:0005737,GO:0005739,GO:0005740,GO:0005743,GO:0005744,GO:0006605,GO:0006626,GO:0006810,GO:0006839,GO:0006886,GO:0006996,GO:0007005,GO:0008104,GO:0008150,GO:0008320,GO:0008565,GO:0009987,GO:0015031,GO:0015399,GO:0015405,GO:0015450,GO:0015833,GO:0016020,GO:0016021,GO:0016043,GO:0017038,GO:0019866,GO:0022804,GO:0022857,GO:0022884,GO:0030150,GO:0031090,GO:0031224,GO:0031300,GO:0031301,GO:0031304,GO:0031305,GO:0031966,GO:0031967,GO:0031975,GO:0032592,GO:0032991,GO:0033036,GO:0033365,GO:0034613,GO:0042886,GO:0042887,GO:0043226,GO:0043227,GO:0043229,GO:0043231,GO:0044422,GO:0044424,GO:0044425,GO:0044429,GO:0044444,GO:0044446,GO:0044455,GO:0044464,GO:0044743,GO:0045184,GO:0046907,GO:0051179,GO:0051234,GO:0051641,GO:0051649,GO:0055085,GO:0065002,GO:0070585,GO:0070727,GO:0071702,GO:0071705,GO:0071806,GO:0071840,GO:0072594,GO:0072655,GO:0098573,GO:0098796,GO:0098798,GO:0098800,GO:1904680,GO:1990542</t>
  </si>
  <si>
    <t>ko:K17795,ko:K19382</t>
  </si>
  <si>
    <t>ko00000,ko02000,ko03029,ko03036</t>
  </si>
  <si>
    <t>Tim9a</t>
  </si>
  <si>
    <t>Tim17a2</t>
  </si>
  <si>
    <t>Tim17b1</t>
  </si>
  <si>
    <t>Tim17a1</t>
  </si>
  <si>
    <t>Tim23</t>
  </si>
  <si>
    <t>IMPORT INNER MEMBRANE TRANSLOCASE SUBUNIT TIM23</t>
  </si>
  <si>
    <t>CG14690</t>
  </si>
  <si>
    <t>CG9393</t>
  </si>
  <si>
    <t>METAXIN 1</t>
  </si>
  <si>
    <t>evm.model.ptg000044l_1.1534</t>
  </si>
  <si>
    <t>28377.ENSACAP00000002246</t>
  </si>
  <si>
    <t>6.6e-45</t>
  </si>
  <si>
    <t>147.1</t>
  </si>
  <si>
    <t>KOG3028@1|root,KOG3028@2759|Eukaryota,39SD5@33154|Opisthokonta,3BD9J@33208|Metazoa,3D17G@33213|Bilateria,483T6@7711|Chordata,48YW9@7742|Vertebrata</t>
  </si>
  <si>
    <t>protein targeting to mitochondrion</t>
  </si>
  <si>
    <t>MTX1</t>
  </si>
  <si>
    <t>GO:0003674,GO:0005488,GO:0005515,GO:0005575,GO:0005622,GO:0005623,GO:0005737,GO:0005739,GO:0005740,GO:0005741,GO:0006605,GO:0006626,GO:0006810,GO:0006839,GO:0006886,GO:0006996,GO:0007005,GO:0008104,GO:0008150,GO:0009987,GO:0015031,GO:0015833,GO:0016020,GO:0016021,GO:0016043,GO:0019867,GO:0031090,GO:0031224,GO:0031966,GO:0031967,GO:0031968,GO:0031975,GO:0033036,GO:0033365,GO:0034613,GO:0042886,GO:0043226,GO:0043227,GO:0043229,GO:0043231,GO:0044422,GO:0044424,GO:0044425,GO:0044429,GO:0044444,GO:0044446,GO:0044464,GO:0045184,GO:0046907,GO:0051179,GO:0051234,GO:0051641,GO:0051649,GO:0070585,GO:0070727,GO:0071702,GO:0071705,GO:0071840,GO:0072594,GO:0072655,GO:0098588,GO:0098805</t>
  </si>
  <si>
    <t>ko:K17776</t>
  </si>
  <si>
    <t>GST_C_6,Tom37</t>
  </si>
  <si>
    <t>CG5662</t>
  </si>
  <si>
    <t>METAXIN 2</t>
  </si>
  <si>
    <t>evm.model.ptg000009l_1.2115</t>
  </si>
  <si>
    <t>7897.ENSLACP00000006328</t>
  </si>
  <si>
    <t>6.9e-33</t>
  </si>
  <si>
    <t>107.5</t>
  </si>
  <si>
    <t>KOG3027@1|root,KOG3027@2759|Eukaryota,39TVI@33154|Opisthokonta,3BAN3@33208|Metazoa,3CUY0@33213|Bilateria,487QY@7711|Chordata,48WA7@7742|Vertebrata</t>
  </si>
  <si>
    <t>MU</t>
  </si>
  <si>
    <t>Metaxin 2</t>
  </si>
  <si>
    <t>MTX2</t>
  </si>
  <si>
    <t>GO:0005575,GO:0005622,GO:0005623,GO:0005634,GO:0005730,GO:0005737,GO:0005739,GO:0005740,GO:0005741,GO:0006605,GO:0006626,GO:0006810,GO:0006839,GO:0006886,GO:0006996,GO:0007005,GO:0008104,GO:0008150,GO:0009987,GO:0015031,GO:0015833,GO:0016020,GO:0016043,GO:0019867,GO:0031090,GO:0031966,GO:0031967,GO:0031968,GO:0031974,GO:0031975,GO:0031981,GO:0033036,GO:0033365,GO:0034613,GO:0042886,GO:0043226,GO:0043227,GO:0043228,GO:0043229,GO:0043231,GO:0043232,GO:0043233,GO:0044422,GO:0044424,GO:0044428,GO:0044429,GO:0044444,GO:0044446,GO:0044464,GO:0045184,GO:0046907,GO:0051179,GO:0051234,GO:0051641,GO:0051649,GO:0070013,GO:0070585,GO:0070727,GO:0071702,GO:0071705,GO:0071840,GO:0072594,GO:0072655,GO:0098588,GO:0098805</t>
  </si>
  <si>
    <t>CG8004</t>
  </si>
  <si>
    <t>CG8330</t>
  </si>
  <si>
    <t>CG8226</t>
  </si>
  <si>
    <t>Proteolysis</t>
  </si>
  <si>
    <t>CG7791</t>
  </si>
  <si>
    <t>INTERMEDIATE PEPTIDASE</t>
  </si>
  <si>
    <t>CG8728</t>
  </si>
  <si>
    <t>MITOCHONDRIAL PROCESSING PEPTIDASE ALPHA</t>
  </si>
  <si>
    <t>CG6512</t>
  </si>
  <si>
    <t>AFG3-LIKE PROTEIN 2 (by similarity)</t>
  </si>
  <si>
    <t>CG8798</t>
  </si>
  <si>
    <t>LON PROTEASE HOMOLOG</t>
  </si>
  <si>
    <t>CG5045</t>
  </si>
  <si>
    <t>PUTATIVE ATP-DEPENDENT CLP PROTEASE PROTEOLYTIC</t>
  </si>
  <si>
    <t>CG4538</t>
  </si>
  <si>
    <t>ATP-DEPENDENT CLP PROTEASE ATP-BINDING SUBUNIT</t>
  </si>
  <si>
    <t>Sulfur metabolism</t>
  </si>
  <si>
    <t>CG12264</t>
  </si>
  <si>
    <t>CYSTEINE DESULFURASE</t>
  </si>
  <si>
    <t>CG7280</t>
  </si>
  <si>
    <t>SULFITE OXIDASE</t>
  </si>
  <si>
    <t>Transport facilitation</t>
  </si>
  <si>
    <t>CG1907</t>
  </si>
  <si>
    <t>2-OXOGLUTARATE/MALATE CARRIER PROTEIN</t>
  </si>
  <si>
    <t>Mpcp</t>
  </si>
  <si>
    <t>PHOSPHATE CARRIER PROTEIN</t>
  </si>
  <si>
    <t>CG31305</t>
  </si>
  <si>
    <t>TRICARBOXYLATE TRANSPORT PROTEIN</t>
  </si>
  <si>
    <t>fh</t>
  </si>
  <si>
    <t>FRATAXIN"</t>
  </si>
  <si>
    <t>CG8026</t>
  </si>
  <si>
    <t>MITOCHONDRIAL FOLATE TRANSPORTER/CARRIER</t>
  </si>
  <si>
    <t>CG7955</t>
  </si>
  <si>
    <t>ATP-BINDING CASSETTE, SUB-FAMILY B, MEMBER 7"</t>
  </si>
  <si>
    <t>CG4225</t>
  </si>
  <si>
    <t>ATP-BINDING CASSETTE,SUB-FAMILY B,MEMBER 6 (by similarity)</t>
  </si>
  <si>
    <t>colt</t>
  </si>
  <si>
    <t>CARNITINE/ACYLCARNITINE CARRIER"</t>
  </si>
  <si>
    <t>CG3156</t>
  </si>
  <si>
    <t>ATP-BINDING CASSETTE, SUB-FAMILY B, MEMBER 10</t>
  </si>
  <si>
    <t>porin</t>
  </si>
  <si>
    <t>VOLTAGE-DEPENDENT ANION-SELECTIVE CHANNEL</t>
  </si>
  <si>
    <t>aralar1</t>
  </si>
  <si>
    <t>CALCIUM-BINDING MITOCHONDRIAL CARRIER PROTEIN</t>
  </si>
  <si>
    <t>CG7514</t>
  </si>
  <si>
    <t>CG18418</t>
  </si>
  <si>
    <t>Ant2</t>
  </si>
  <si>
    <t>ADP,ATP CARRIER PROTEIN"</t>
  </si>
  <si>
    <t>CG1824</t>
  </si>
  <si>
    <t>ATP-BINDING CASSETTE, SUB-FAMILY B, MEMBER 8 (by similarity)</t>
  </si>
  <si>
    <t>CG3476</t>
  </si>
  <si>
    <t>CARNITINE/ACYLCARNITINE CARRIER (by similarity)</t>
  </si>
  <si>
    <t>CG1628</t>
  </si>
  <si>
    <t>MITOCHONDRIAL ORNITHINE TRANSPORTER 1</t>
  </si>
  <si>
    <t>ScpX</t>
  </si>
  <si>
    <t>NONSPECIFIC LIPID-TRANSFER PROTEIN</t>
  </si>
  <si>
    <t>CG9090</t>
  </si>
  <si>
    <t>CG17137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</si>
</sst>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b/>
      <color theme="1"/>
      <name val="Arial"/>
      <scheme val="minor"/>
    </font>
    <font>
      <color theme="1"/>
      <name val="Arial"/>
      <scheme val="minor"/>
    </font>
    <font>
      <u/>
      <color rgb="FF0000FF"/>
    </font>
    <font>
      <b/>
      <color rgb="FF0000FF"/>
      <name val="Arial"/>
      <scheme val="minor"/>
    </font>
    <font>
      <color theme="1"/>
      <name val="Arial"/>
    </font>
    <font>
      <b/>
      <color rgb="FF1F1F1F"/>
      <name val="Arial"/>
      <scheme val="minor"/>
    </font>
    <font>
      <color rgb="FF1F1F1F"/>
      <name val="Arial"/>
      <scheme val="minor"/>
    </font>
    <font>
      <i/>
      <color rgb="FF1F1F1F"/>
      <name val="Arial"/>
      <scheme val="minor"/>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right" readingOrder="0"/>
    </xf>
    <xf borderId="0" fillId="0" fontId="3" numFmtId="0" xfId="0" applyAlignment="1" applyFont="1">
      <alignment horizontal="left" readingOrder="0"/>
    </xf>
    <xf borderId="0" fillId="0" fontId="2" numFmtId="0" xfId="0" applyAlignment="1" applyFont="1">
      <alignment horizontal="left" readingOrder="0"/>
    </xf>
    <xf borderId="0" fillId="0" fontId="2" numFmtId="0" xfId="0" applyAlignment="1" applyFont="1">
      <alignment horizontal="left"/>
    </xf>
    <xf borderId="0" fillId="0" fontId="4" numFmtId="0" xfId="0" applyAlignment="1" applyFont="1">
      <alignment horizontal="left" readingOrder="0"/>
    </xf>
    <xf borderId="0" fillId="0" fontId="4" numFmtId="10" xfId="0" applyAlignment="1" applyFont="1" applyNumberFormat="1">
      <alignment horizontal="left" readingOrder="0"/>
    </xf>
    <xf borderId="0" fillId="0" fontId="5" numFmtId="0" xfId="0" applyAlignment="1" applyFont="1">
      <alignment horizontal="left" vertical="bottom"/>
    </xf>
    <xf borderId="0" fillId="0" fontId="5" numFmtId="0" xfId="0" applyAlignment="1" applyFont="1">
      <alignment horizontal="left" vertical="bottom"/>
    </xf>
    <xf borderId="0" fillId="0" fontId="5" numFmtId="0" xfId="0" applyAlignment="1" applyFont="1">
      <alignment vertical="bottom"/>
    </xf>
    <xf borderId="0" fillId="0" fontId="5" numFmtId="0" xfId="0" applyAlignment="1" applyFont="1">
      <alignment vertical="bottom"/>
    </xf>
    <xf borderId="0" fillId="0" fontId="2" numFmtId="0" xfId="0" applyAlignment="1" applyFont="1">
      <alignment horizontal="left" readingOrder="0" vertical="center"/>
    </xf>
    <xf borderId="0" fillId="0" fontId="5" numFmtId="164" xfId="0" applyAlignment="1" applyFont="1" applyNumberFormat="1">
      <alignment horizontal="left" vertical="bottom"/>
    </xf>
    <xf borderId="0" fillId="0" fontId="5" numFmtId="164" xfId="0" applyAlignment="1" applyFont="1" applyNumberFormat="1">
      <alignment horizontal="right" vertical="bottom"/>
    </xf>
    <xf borderId="0" fillId="0" fontId="1" numFmtId="0" xfId="0" applyAlignment="1" applyFont="1">
      <alignment horizontal="left"/>
    </xf>
    <xf borderId="0" fillId="2" fontId="1" numFmtId="0" xfId="0" applyAlignment="1" applyFill="1" applyFont="1">
      <alignment readingOrder="0" vertical="center"/>
    </xf>
    <xf borderId="0" fillId="2" fontId="2" numFmtId="0" xfId="0" applyAlignment="1" applyFill="1" applyFont="1">
      <alignment vertical="center"/>
    </xf>
    <xf borderId="0" fillId="2" fontId="2" numFmtId="0" xfId="0" applyAlignment="1" applyFill="1" applyFont="1">
      <alignment horizontal="left"/>
    </xf>
    <xf borderId="0" fillId="0" fontId="2" numFmtId="0" xfId="0" applyAlignment="1" applyFont="1">
      <alignment vertical="center"/>
    </xf>
    <xf borderId="0" fillId="0" fontId="4" numFmtId="0" xfId="0" applyAlignment="1" applyFont="1">
      <alignment horizontal="left" readingOrder="0" vertical="center"/>
    </xf>
    <xf borderId="0" fillId="0" fontId="4" numFmtId="0" xfId="0" applyAlignment="1" applyFont="1">
      <alignment vertical="center"/>
    </xf>
    <xf borderId="0" fillId="0" fontId="4" numFmtId="10" xfId="0" applyAlignment="1" applyFont="1" applyNumberFormat="1">
      <alignment vertical="center"/>
    </xf>
    <xf borderId="0" fillId="0" fontId="1"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readingOrder="0" vertical="center"/>
    </xf>
    <xf borderId="0" fillId="0" fontId="2" numFmtId="0" xfId="0" applyAlignment="1" applyFont="1">
      <alignment vertical="center"/>
    </xf>
    <xf borderId="0" fillId="0" fontId="2" numFmtId="0" xfId="0" applyAlignment="1" applyFont="1">
      <alignment readingOrder="0"/>
    </xf>
    <xf borderId="0" fillId="0" fontId="2" numFmtId="11" xfId="0" applyAlignment="1" applyFont="1" applyNumberFormat="1">
      <alignment readingOrder="0"/>
    </xf>
    <xf borderId="0" fillId="0" fontId="5" numFmtId="164" xfId="0" applyAlignment="1" applyFont="1" applyNumberFormat="1">
      <alignment vertical="bottom"/>
    </xf>
    <xf borderId="0" fillId="0" fontId="5" numFmtId="0" xfId="0" applyAlignment="1" applyFont="1">
      <alignment horizontal="left" readingOrder="0" vertical="bottom"/>
    </xf>
    <xf borderId="0" fillId="0" fontId="5" numFmtId="11" xfId="0" applyAlignment="1" applyFont="1" applyNumberFormat="1">
      <alignment horizontal="right" vertical="bottom"/>
    </xf>
    <xf borderId="0" fillId="0" fontId="2" numFmtId="0" xfId="0" applyAlignment="1" applyFont="1">
      <alignment readingOrder="0" vertical="center"/>
    </xf>
    <xf borderId="0" fillId="0" fontId="5" numFmtId="0" xfId="0" applyAlignment="1" applyFont="1">
      <alignment vertical="center"/>
    </xf>
    <xf borderId="0" fillId="0" fontId="5" numFmtId="11" xfId="0" applyAlignment="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lybase.org/reports/FBgg0000059.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2" max="2" width="23.88"/>
  </cols>
  <sheetData>
    <row r="1">
      <c r="A1" s="1" t="s">
        <v>0</v>
      </c>
      <c r="B1" s="2" t="s">
        <v>1</v>
      </c>
      <c r="C1" s="3" t="s">
        <v>2</v>
      </c>
      <c r="D1" s="4" t="s">
        <v>3</v>
      </c>
      <c r="E1" s="4" t="s">
        <v>4</v>
      </c>
      <c r="F1" s="5"/>
      <c r="G1" s="5"/>
      <c r="H1" s="5"/>
      <c r="I1" s="5"/>
      <c r="J1" s="5"/>
      <c r="K1" s="5"/>
      <c r="L1" s="5"/>
      <c r="M1" s="5"/>
      <c r="N1" s="5"/>
      <c r="O1" s="5"/>
      <c r="P1" s="5"/>
      <c r="Q1" s="5"/>
      <c r="R1" s="5"/>
      <c r="S1" s="5"/>
      <c r="T1" s="5"/>
      <c r="U1" s="5"/>
      <c r="V1" s="5"/>
      <c r="W1" s="5"/>
      <c r="X1" s="5"/>
      <c r="Y1" s="5"/>
      <c r="Z1" s="5"/>
      <c r="AA1" s="5"/>
    </row>
    <row r="2">
      <c r="A2" s="5"/>
      <c r="B2" s="5"/>
      <c r="C2" s="5"/>
      <c r="D2" s="5"/>
      <c r="E2" s="5"/>
      <c r="F2" s="5"/>
      <c r="G2" s="5"/>
      <c r="H2" s="5"/>
      <c r="I2" s="5"/>
      <c r="J2" s="5"/>
      <c r="K2" s="5"/>
      <c r="L2" s="5"/>
      <c r="M2" s="5"/>
      <c r="N2" s="5"/>
      <c r="O2" s="5"/>
      <c r="P2" s="5"/>
      <c r="Q2" s="5"/>
      <c r="R2" s="5"/>
      <c r="S2" s="5"/>
      <c r="T2" s="5"/>
      <c r="U2" s="5"/>
      <c r="V2" s="5"/>
      <c r="W2" s="5"/>
      <c r="X2" s="5"/>
      <c r="Y2" s="5"/>
      <c r="Z2" s="5"/>
      <c r="AA2" s="5"/>
    </row>
    <row r="3">
      <c r="A3" s="6" t="s">
        <v>5</v>
      </c>
      <c r="B3" s="7">
        <f>(16/31)</f>
        <v>0.5161290323</v>
      </c>
      <c r="C3" s="5"/>
      <c r="D3" s="5"/>
      <c r="E3" s="5"/>
      <c r="F3" s="5"/>
      <c r="G3" s="5"/>
      <c r="H3" s="5"/>
      <c r="I3" s="5"/>
      <c r="J3" s="5"/>
      <c r="K3" s="5"/>
      <c r="L3" s="5"/>
      <c r="M3" s="5"/>
      <c r="N3" s="5"/>
      <c r="O3" s="5"/>
      <c r="P3" s="5"/>
      <c r="Q3" s="5"/>
      <c r="R3" s="5"/>
      <c r="S3" s="5"/>
      <c r="T3" s="5"/>
      <c r="U3" s="5"/>
      <c r="V3" s="5"/>
      <c r="W3" s="5"/>
      <c r="X3" s="5"/>
      <c r="Y3" s="5"/>
      <c r="Z3" s="5"/>
      <c r="AA3" s="5"/>
    </row>
    <row r="4">
      <c r="A4" s="4" t="s">
        <v>6</v>
      </c>
      <c r="B4" s="4">
        <v>0.0</v>
      </c>
      <c r="C4" s="5"/>
      <c r="D4" s="5"/>
      <c r="E4" s="5"/>
      <c r="F4" s="5"/>
      <c r="G4" s="5"/>
      <c r="H4" s="5"/>
      <c r="I4" s="5"/>
      <c r="J4" s="5"/>
      <c r="K4" s="5"/>
      <c r="L4" s="5"/>
      <c r="M4" s="5"/>
      <c r="N4" s="5"/>
      <c r="O4" s="5"/>
      <c r="P4" s="5"/>
      <c r="Q4" s="5"/>
      <c r="R4" s="5"/>
      <c r="S4" s="5"/>
      <c r="T4" s="5"/>
      <c r="U4" s="5"/>
      <c r="V4" s="5"/>
      <c r="W4" s="5"/>
      <c r="X4" s="5"/>
      <c r="Y4" s="5"/>
      <c r="Z4" s="5"/>
      <c r="AA4" s="5"/>
    </row>
    <row r="5">
      <c r="A5" s="4" t="s">
        <v>7</v>
      </c>
      <c r="B5" s="4">
        <v>0.0</v>
      </c>
      <c r="C5" s="5"/>
      <c r="D5" s="5"/>
      <c r="E5" s="5"/>
      <c r="F5" s="5"/>
      <c r="G5" s="5"/>
      <c r="H5" s="5"/>
      <c r="I5" s="5"/>
      <c r="J5" s="5"/>
      <c r="K5" s="5"/>
      <c r="L5" s="5"/>
      <c r="M5" s="5"/>
      <c r="N5" s="5"/>
      <c r="O5" s="5"/>
      <c r="P5" s="5"/>
      <c r="Q5" s="5"/>
      <c r="R5" s="5"/>
      <c r="S5" s="5"/>
      <c r="T5" s="5"/>
      <c r="U5" s="5"/>
      <c r="V5" s="5"/>
      <c r="W5" s="5"/>
      <c r="X5" s="5"/>
      <c r="Y5" s="5"/>
      <c r="Z5" s="5"/>
      <c r="AA5" s="5"/>
    </row>
    <row r="6">
      <c r="A6" s="4" t="s">
        <v>8</v>
      </c>
      <c r="B6" s="4">
        <v>0.0</v>
      </c>
      <c r="C6" s="5"/>
      <c r="D6" s="5"/>
      <c r="E6" s="5"/>
      <c r="F6" s="5"/>
      <c r="G6" s="5"/>
      <c r="H6" s="5"/>
      <c r="I6" s="5"/>
      <c r="J6" s="5"/>
      <c r="K6" s="5"/>
      <c r="L6" s="5"/>
      <c r="M6" s="5"/>
      <c r="N6" s="5"/>
      <c r="O6" s="5"/>
      <c r="P6" s="5"/>
      <c r="Q6" s="5"/>
      <c r="R6" s="5"/>
      <c r="S6" s="5"/>
      <c r="T6" s="5"/>
      <c r="U6" s="5"/>
      <c r="V6" s="5"/>
      <c r="W6" s="5"/>
      <c r="X6" s="5"/>
      <c r="Y6" s="5"/>
      <c r="Z6" s="5"/>
      <c r="AA6" s="5"/>
    </row>
    <row r="7">
      <c r="A7" s="4" t="s">
        <v>9</v>
      </c>
      <c r="B7" s="4" t="s">
        <v>10</v>
      </c>
      <c r="C7" s="4" t="s">
        <v>11</v>
      </c>
      <c r="D7" s="4" t="s">
        <v>12</v>
      </c>
      <c r="E7" s="4" t="s">
        <v>13</v>
      </c>
      <c r="F7" s="4" t="s">
        <v>14</v>
      </c>
      <c r="G7" s="4" t="s">
        <v>15</v>
      </c>
      <c r="H7" s="4" t="s">
        <v>16</v>
      </c>
      <c r="I7" s="4" t="s">
        <v>17</v>
      </c>
      <c r="J7" s="4" t="s">
        <v>18</v>
      </c>
      <c r="K7" s="4" t="s">
        <v>19</v>
      </c>
      <c r="L7" s="4" t="s">
        <v>20</v>
      </c>
      <c r="M7" s="4" t="s">
        <v>21</v>
      </c>
      <c r="N7" s="4" t="s">
        <v>22</v>
      </c>
      <c r="O7" s="4" t="s">
        <v>23</v>
      </c>
      <c r="P7" s="4" t="s">
        <v>20</v>
      </c>
      <c r="Q7" s="4" t="s">
        <v>20</v>
      </c>
      <c r="R7" s="4" t="s">
        <v>24</v>
      </c>
      <c r="S7" s="4" t="s">
        <v>20</v>
      </c>
      <c r="T7" s="4" t="s">
        <v>20</v>
      </c>
      <c r="U7" s="4" t="s">
        <v>20</v>
      </c>
      <c r="V7" s="4" t="s">
        <v>25</v>
      </c>
      <c r="W7" s="5"/>
      <c r="X7" s="5"/>
      <c r="Y7" s="5"/>
      <c r="Z7" s="5"/>
      <c r="AA7" s="5"/>
    </row>
    <row r="8">
      <c r="A8" s="4" t="s">
        <v>26</v>
      </c>
      <c r="B8" s="4">
        <v>0.0</v>
      </c>
      <c r="C8" s="5"/>
      <c r="D8" s="5"/>
      <c r="E8" s="5"/>
      <c r="F8" s="5"/>
      <c r="G8" s="5"/>
      <c r="H8" s="5"/>
      <c r="I8" s="5"/>
      <c r="J8" s="5"/>
      <c r="K8" s="5"/>
      <c r="L8" s="5"/>
      <c r="M8" s="5"/>
      <c r="N8" s="5"/>
      <c r="O8" s="5"/>
      <c r="P8" s="5"/>
      <c r="Q8" s="5"/>
      <c r="R8" s="5"/>
      <c r="S8" s="5"/>
      <c r="T8" s="5"/>
      <c r="U8" s="5"/>
      <c r="V8" s="5"/>
      <c r="W8" s="5"/>
      <c r="X8" s="5"/>
      <c r="Y8" s="5"/>
      <c r="Z8" s="5"/>
      <c r="AA8" s="5"/>
    </row>
    <row r="9">
      <c r="A9" s="4" t="s">
        <v>27</v>
      </c>
      <c r="B9" s="4">
        <v>0.0</v>
      </c>
      <c r="C9" s="5"/>
      <c r="D9" s="5"/>
      <c r="E9" s="5"/>
      <c r="F9" s="5"/>
      <c r="G9" s="5"/>
      <c r="H9" s="5"/>
      <c r="I9" s="5"/>
      <c r="J9" s="5"/>
      <c r="K9" s="5"/>
      <c r="L9" s="5"/>
      <c r="M9" s="5"/>
      <c r="N9" s="5"/>
      <c r="O9" s="5"/>
      <c r="P9" s="5"/>
      <c r="Q9" s="5"/>
      <c r="R9" s="5"/>
      <c r="S9" s="5"/>
      <c r="T9" s="5"/>
      <c r="U9" s="5"/>
      <c r="V9" s="5"/>
      <c r="W9" s="5"/>
      <c r="X9" s="5"/>
      <c r="Y9" s="5"/>
      <c r="Z9" s="5"/>
      <c r="AA9" s="5"/>
    </row>
    <row r="10">
      <c r="A10" s="4" t="s">
        <v>28</v>
      </c>
      <c r="B10" s="8" t="s">
        <v>29</v>
      </c>
      <c r="C10" s="9" t="s">
        <v>30</v>
      </c>
      <c r="D10" s="9" t="s">
        <v>31</v>
      </c>
      <c r="E10" s="9" t="s">
        <v>32</v>
      </c>
      <c r="F10" s="9" t="s">
        <v>33</v>
      </c>
      <c r="G10" s="9" t="s">
        <v>15</v>
      </c>
      <c r="H10" s="9" t="s">
        <v>16</v>
      </c>
      <c r="I10" s="9" t="s">
        <v>34</v>
      </c>
      <c r="J10" s="9" t="s">
        <v>35</v>
      </c>
      <c r="K10" s="9" t="s">
        <v>36</v>
      </c>
      <c r="L10" s="9" t="s">
        <v>20</v>
      </c>
      <c r="M10" s="9" t="s">
        <v>37</v>
      </c>
      <c r="N10" s="9" t="s">
        <v>22</v>
      </c>
      <c r="O10" s="9" t="s">
        <v>23</v>
      </c>
      <c r="P10" s="9" t="s">
        <v>20</v>
      </c>
      <c r="Q10" s="9" t="s">
        <v>20</v>
      </c>
      <c r="R10" s="9" t="s">
        <v>24</v>
      </c>
      <c r="S10" s="9" t="s">
        <v>20</v>
      </c>
      <c r="T10" s="9" t="s">
        <v>20</v>
      </c>
      <c r="U10" s="9" t="s">
        <v>20</v>
      </c>
      <c r="V10" s="9" t="s">
        <v>38</v>
      </c>
      <c r="W10" s="9"/>
      <c r="X10" s="9"/>
      <c r="Y10" s="9"/>
      <c r="Z10" s="9"/>
      <c r="AA10" s="9"/>
    </row>
    <row r="11">
      <c r="A11" s="4" t="s">
        <v>39</v>
      </c>
      <c r="B11" s="10" t="s">
        <v>40</v>
      </c>
      <c r="C11" s="11" t="s">
        <v>41</v>
      </c>
      <c r="D11" s="11" t="s">
        <v>42</v>
      </c>
      <c r="E11" s="11" t="s">
        <v>43</v>
      </c>
      <c r="F11" s="11" t="s">
        <v>44</v>
      </c>
      <c r="G11" s="11" t="s">
        <v>15</v>
      </c>
      <c r="H11" s="11" t="s">
        <v>16</v>
      </c>
      <c r="I11" s="11" t="s">
        <v>45</v>
      </c>
      <c r="J11" s="11" t="s">
        <v>46</v>
      </c>
      <c r="K11" s="11" t="s">
        <v>47</v>
      </c>
      <c r="L11" s="11" t="s">
        <v>20</v>
      </c>
      <c r="M11" s="11" t="s">
        <v>48</v>
      </c>
      <c r="N11" s="11" t="s">
        <v>22</v>
      </c>
      <c r="O11" s="11" t="s">
        <v>23</v>
      </c>
      <c r="P11" s="11" t="s">
        <v>20</v>
      </c>
      <c r="Q11" s="11" t="s">
        <v>20</v>
      </c>
      <c r="R11" s="11" t="s">
        <v>24</v>
      </c>
      <c r="S11" s="11" t="s">
        <v>20</v>
      </c>
      <c r="T11" s="11" t="s">
        <v>20</v>
      </c>
      <c r="U11" s="11" t="s">
        <v>20</v>
      </c>
      <c r="V11" s="11" t="s">
        <v>49</v>
      </c>
      <c r="W11" s="11"/>
      <c r="X11" s="11"/>
      <c r="Y11" s="11"/>
      <c r="Z11" s="11"/>
      <c r="AA11" s="11"/>
    </row>
    <row r="12">
      <c r="A12" s="4" t="s">
        <v>50</v>
      </c>
      <c r="B12" s="8" t="s">
        <v>51</v>
      </c>
      <c r="C12" s="9" t="s">
        <v>52</v>
      </c>
      <c r="D12" s="9" t="s">
        <v>53</v>
      </c>
      <c r="E12" s="9" t="s">
        <v>54</v>
      </c>
      <c r="F12" s="9" t="s">
        <v>55</v>
      </c>
      <c r="G12" s="9" t="s">
        <v>15</v>
      </c>
      <c r="H12" s="9" t="s">
        <v>16</v>
      </c>
      <c r="I12" s="9" t="s">
        <v>56</v>
      </c>
      <c r="J12" s="9" t="s">
        <v>57</v>
      </c>
      <c r="K12" s="9" t="s">
        <v>19</v>
      </c>
      <c r="L12" s="9" t="s">
        <v>20</v>
      </c>
      <c r="M12" s="9" t="s">
        <v>58</v>
      </c>
      <c r="N12" s="9" t="s">
        <v>22</v>
      </c>
      <c r="O12" s="9" t="s">
        <v>23</v>
      </c>
      <c r="P12" s="9" t="s">
        <v>20</v>
      </c>
      <c r="Q12" s="9" t="s">
        <v>20</v>
      </c>
      <c r="R12" s="9" t="s">
        <v>24</v>
      </c>
      <c r="S12" s="9" t="s">
        <v>20</v>
      </c>
      <c r="T12" s="9" t="s">
        <v>20</v>
      </c>
      <c r="U12" s="9" t="s">
        <v>20</v>
      </c>
      <c r="V12" s="9" t="s">
        <v>59</v>
      </c>
      <c r="W12" s="9"/>
      <c r="X12" s="9"/>
      <c r="Y12" s="9"/>
      <c r="Z12" s="9"/>
      <c r="AA12" s="9"/>
    </row>
    <row r="13">
      <c r="A13" s="4" t="s">
        <v>60</v>
      </c>
      <c r="B13" s="4">
        <v>0.0</v>
      </c>
      <c r="C13" s="5"/>
      <c r="D13" s="5"/>
      <c r="E13" s="5"/>
      <c r="F13" s="5"/>
      <c r="G13" s="5"/>
      <c r="H13" s="5"/>
      <c r="I13" s="5"/>
      <c r="J13" s="5"/>
      <c r="K13" s="5"/>
      <c r="L13" s="5"/>
      <c r="M13" s="5"/>
      <c r="N13" s="5"/>
      <c r="O13" s="5"/>
      <c r="P13" s="5"/>
      <c r="Q13" s="5"/>
      <c r="R13" s="5"/>
      <c r="S13" s="5"/>
      <c r="T13" s="5"/>
      <c r="U13" s="5"/>
      <c r="V13" s="5"/>
      <c r="W13" s="5"/>
      <c r="X13" s="5"/>
      <c r="Y13" s="5"/>
      <c r="Z13" s="5"/>
      <c r="AA13" s="5"/>
    </row>
    <row r="14">
      <c r="A14" s="4" t="s">
        <v>61</v>
      </c>
      <c r="B14" s="4">
        <v>0.0</v>
      </c>
      <c r="C14" s="5"/>
      <c r="D14" s="5"/>
      <c r="E14" s="5"/>
      <c r="F14" s="5"/>
      <c r="G14" s="5"/>
      <c r="H14" s="5"/>
      <c r="I14" s="5"/>
      <c r="J14" s="5"/>
      <c r="K14" s="5"/>
      <c r="L14" s="5"/>
      <c r="M14" s="5"/>
      <c r="N14" s="5"/>
      <c r="O14" s="5"/>
      <c r="P14" s="5"/>
      <c r="Q14" s="5"/>
      <c r="R14" s="5"/>
      <c r="S14" s="5"/>
      <c r="T14" s="5"/>
      <c r="U14" s="5"/>
      <c r="V14" s="5"/>
      <c r="W14" s="5"/>
      <c r="X14" s="5"/>
      <c r="Y14" s="5"/>
      <c r="Z14" s="5"/>
      <c r="AA14" s="5"/>
    </row>
    <row r="15">
      <c r="A15" s="4" t="s">
        <v>62</v>
      </c>
      <c r="B15" s="10" t="s">
        <v>63</v>
      </c>
      <c r="C15" s="11" t="s">
        <v>64</v>
      </c>
      <c r="D15" s="11" t="s">
        <v>65</v>
      </c>
      <c r="E15" s="11" t="s">
        <v>66</v>
      </c>
      <c r="F15" s="11" t="s">
        <v>67</v>
      </c>
      <c r="G15" s="11" t="s">
        <v>15</v>
      </c>
      <c r="H15" s="11" t="s">
        <v>16</v>
      </c>
      <c r="I15" s="11" t="s">
        <v>68</v>
      </c>
      <c r="J15" s="11" t="s">
        <v>69</v>
      </c>
      <c r="K15" s="11" t="s">
        <v>20</v>
      </c>
      <c r="L15" s="11" t="s">
        <v>20</v>
      </c>
      <c r="M15" s="11" t="s">
        <v>70</v>
      </c>
      <c r="N15" s="11" t="s">
        <v>22</v>
      </c>
      <c r="O15" s="11" t="s">
        <v>71</v>
      </c>
      <c r="P15" s="11" t="s">
        <v>20</v>
      </c>
      <c r="Q15" s="11" t="s">
        <v>20</v>
      </c>
      <c r="R15" s="11" t="s">
        <v>72</v>
      </c>
      <c r="S15" s="11" t="s">
        <v>20</v>
      </c>
      <c r="T15" s="11" t="s">
        <v>20</v>
      </c>
      <c r="U15" s="11" t="s">
        <v>20</v>
      </c>
      <c r="V15" s="11" t="s">
        <v>73</v>
      </c>
      <c r="W15" s="11"/>
      <c r="X15" s="11"/>
      <c r="Y15" s="11"/>
      <c r="Z15" s="11"/>
      <c r="AA15" s="11"/>
    </row>
    <row r="16">
      <c r="A16" s="4" t="s">
        <v>74</v>
      </c>
      <c r="B16" s="4" t="s">
        <v>75</v>
      </c>
      <c r="C16" s="4" t="s">
        <v>76</v>
      </c>
      <c r="D16" s="4" t="s">
        <v>77</v>
      </c>
      <c r="E16" s="4" t="s">
        <v>78</v>
      </c>
      <c r="F16" s="4" t="s">
        <v>79</v>
      </c>
      <c r="G16" s="4" t="s">
        <v>15</v>
      </c>
      <c r="H16" s="4" t="s">
        <v>16</v>
      </c>
      <c r="I16" s="4" t="s">
        <v>17</v>
      </c>
      <c r="J16" s="4" t="s">
        <v>80</v>
      </c>
      <c r="K16" s="4" t="s">
        <v>19</v>
      </c>
      <c r="L16" s="4" t="s">
        <v>20</v>
      </c>
      <c r="M16" s="4" t="s">
        <v>81</v>
      </c>
      <c r="N16" s="4" t="s">
        <v>22</v>
      </c>
      <c r="O16" s="4" t="s">
        <v>23</v>
      </c>
      <c r="P16" s="4" t="s">
        <v>20</v>
      </c>
      <c r="Q16" s="4" t="s">
        <v>20</v>
      </c>
      <c r="R16" s="4" t="s">
        <v>24</v>
      </c>
      <c r="S16" s="4" t="s">
        <v>20</v>
      </c>
      <c r="T16" s="4" t="s">
        <v>20</v>
      </c>
      <c r="U16" s="4" t="s">
        <v>20</v>
      </c>
      <c r="V16" s="4" t="s">
        <v>82</v>
      </c>
      <c r="W16" s="5"/>
      <c r="X16" s="5"/>
      <c r="Y16" s="5"/>
      <c r="Z16" s="5"/>
      <c r="AA16" s="5"/>
    </row>
    <row r="17">
      <c r="A17" s="4" t="s">
        <v>83</v>
      </c>
      <c r="B17" s="4">
        <v>0.0</v>
      </c>
      <c r="C17" s="5"/>
      <c r="D17" s="5"/>
      <c r="E17" s="5"/>
      <c r="F17" s="5"/>
      <c r="G17" s="5"/>
      <c r="H17" s="5"/>
      <c r="I17" s="5"/>
      <c r="J17" s="5"/>
      <c r="K17" s="5"/>
      <c r="L17" s="5"/>
      <c r="M17" s="5"/>
      <c r="N17" s="5"/>
      <c r="O17" s="5"/>
      <c r="P17" s="5"/>
      <c r="Q17" s="5"/>
      <c r="R17" s="5"/>
      <c r="S17" s="5"/>
      <c r="T17" s="5"/>
      <c r="U17" s="5"/>
      <c r="V17" s="5"/>
      <c r="W17" s="5"/>
      <c r="X17" s="5"/>
      <c r="Y17" s="5"/>
      <c r="Z17" s="5"/>
      <c r="AA17" s="5"/>
    </row>
    <row r="18">
      <c r="A18" s="12" t="s">
        <v>84</v>
      </c>
      <c r="B18" s="8" t="s">
        <v>85</v>
      </c>
      <c r="C18" s="9" t="s">
        <v>86</v>
      </c>
      <c r="D18" s="9" t="s">
        <v>87</v>
      </c>
      <c r="E18" s="9" t="s">
        <v>88</v>
      </c>
      <c r="F18" s="9" t="s">
        <v>89</v>
      </c>
      <c r="G18" s="9" t="s">
        <v>15</v>
      </c>
      <c r="H18" s="9" t="s">
        <v>16</v>
      </c>
      <c r="I18" s="9" t="s">
        <v>17</v>
      </c>
      <c r="J18" s="9" t="s">
        <v>90</v>
      </c>
      <c r="K18" s="9" t="s">
        <v>91</v>
      </c>
      <c r="L18" s="9" t="s">
        <v>20</v>
      </c>
      <c r="M18" s="9" t="s">
        <v>92</v>
      </c>
      <c r="N18" s="9" t="s">
        <v>22</v>
      </c>
      <c r="O18" s="9" t="s">
        <v>71</v>
      </c>
      <c r="P18" s="9" t="s">
        <v>20</v>
      </c>
      <c r="Q18" s="9" t="s">
        <v>20</v>
      </c>
      <c r="R18" s="9" t="s">
        <v>24</v>
      </c>
      <c r="S18" s="9" t="s">
        <v>20</v>
      </c>
      <c r="T18" s="9" t="s">
        <v>20</v>
      </c>
      <c r="U18" s="9" t="s">
        <v>20</v>
      </c>
      <c r="V18" s="9" t="s">
        <v>93</v>
      </c>
      <c r="W18" s="9"/>
      <c r="X18" s="9"/>
      <c r="Y18" s="9"/>
      <c r="Z18" s="9"/>
      <c r="AA18" s="9"/>
    </row>
    <row r="19">
      <c r="B19" s="10" t="s">
        <v>94</v>
      </c>
      <c r="C19" s="11" t="s">
        <v>95</v>
      </c>
      <c r="D19" s="11" t="s">
        <v>96</v>
      </c>
      <c r="E19" s="11" t="s">
        <v>97</v>
      </c>
      <c r="F19" s="11" t="s">
        <v>98</v>
      </c>
      <c r="G19" s="11" t="s">
        <v>15</v>
      </c>
      <c r="H19" s="11" t="s">
        <v>16</v>
      </c>
      <c r="I19" s="11" t="s">
        <v>99</v>
      </c>
      <c r="J19" s="11" t="s">
        <v>100</v>
      </c>
      <c r="K19" s="11" t="s">
        <v>91</v>
      </c>
      <c r="L19" s="11" t="s">
        <v>20</v>
      </c>
      <c r="M19" s="11" t="s">
        <v>92</v>
      </c>
      <c r="N19" s="11" t="s">
        <v>22</v>
      </c>
      <c r="O19" s="11" t="s">
        <v>71</v>
      </c>
      <c r="P19" s="11" t="s">
        <v>20</v>
      </c>
      <c r="Q19" s="11" t="s">
        <v>20</v>
      </c>
      <c r="R19" s="11" t="s">
        <v>24</v>
      </c>
      <c r="S19" s="11" t="s">
        <v>20</v>
      </c>
      <c r="T19" s="11" t="s">
        <v>20</v>
      </c>
      <c r="U19" s="11" t="s">
        <v>20</v>
      </c>
      <c r="V19" s="11" t="s">
        <v>93</v>
      </c>
      <c r="W19" s="11"/>
      <c r="X19" s="11"/>
      <c r="Y19" s="11"/>
      <c r="Z19" s="11"/>
      <c r="AA19" s="11"/>
    </row>
    <row r="20">
      <c r="A20" s="4" t="s">
        <v>101</v>
      </c>
      <c r="B20" s="4">
        <v>0.0</v>
      </c>
      <c r="C20" s="5"/>
      <c r="D20" s="5"/>
      <c r="E20" s="5"/>
      <c r="F20" s="5"/>
      <c r="G20" s="5"/>
      <c r="H20" s="5"/>
      <c r="I20" s="5"/>
      <c r="J20" s="5"/>
      <c r="K20" s="5"/>
      <c r="L20" s="5"/>
      <c r="M20" s="5"/>
      <c r="N20" s="5"/>
      <c r="O20" s="5"/>
      <c r="P20" s="5"/>
      <c r="Q20" s="5"/>
      <c r="R20" s="5"/>
      <c r="S20" s="5"/>
      <c r="T20" s="5"/>
      <c r="U20" s="5"/>
      <c r="V20" s="5"/>
      <c r="W20" s="5"/>
      <c r="X20" s="5"/>
      <c r="Y20" s="5"/>
      <c r="Z20" s="5"/>
      <c r="AA20" s="5"/>
    </row>
    <row r="21">
      <c r="A21" s="4" t="s">
        <v>102</v>
      </c>
      <c r="B21" s="4" t="s">
        <v>103</v>
      </c>
      <c r="C21" s="4" t="s">
        <v>104</v>
      </c>
      <c r="D21" s="4" t="s">
        <v>105</v>
      </c>
      <c r="E21" s="4" t="s">
        <v>106</v>
      </c>
      <c r="F21" s="4" t="s">
        <v>107</v>
      </c>
      <c r="G21" s="4" t="s">
        <v>15</v>
      </c>
      <c r="H21" s="4" t="s">
        <v>16</v>
      </c>
      <c r="I21" s="4" t="s">
        <v>108</v>
      </c>
      <c r="J21" s="4" t="s">
        <v>109</v>
      </c>
      <c r="K21" s="4" t="s">
        <v>19</v>
      </c>
      <c r="L21" s="4" t="s">
        <v>20</v>
      </c>
      <c r="M21" s="4" t="s">
        <v>110</v>
      </c>
      <c r="N21" s="4" t="s">
        <v>20</v>
      </c>
      <c r="O21" s="4" t="s">
        <v>20</v>
      </c>
      <c r="P21" s="4" t="s">
        <v>20</v>
      </c>
      <c r="Q21" s="4" t="s">
        <v>20</v>
      </c>
      <c r="R21" s="4" t="s">
        <v>111</v>
      </c>
      <c r="S21" s="4" t="s">
        <v>20</v>
      </c>
      <c r="T21" s="4" t="s">
        <v>20</v>
      </c>
      <c r="U21" s="4" t="s">
        <v>20</v>
      </c>
      <c r="V21" s="4" t="s">
        <v>112</v>
      </c>
      <c r="W21" s="5"/>
      <c r="X21" s="5"/>
      <c r="Y21" s="5"/>
      <c r="Z21" s="5"/>
      <c r="AA21" s="5"/>
    </row>
    <row r="22">
      <c r="A22" s="4" t="s">
        <v>113</v>
      </c>
      <c r="B22" s="4" t="s">
        <v>114</v>
      </c>
      <c r="C22" s="4" t="s">
        <v>115</v>
      </c>
      <c r="D22" s="4" t="s">
        <v>116</v>
      </c>
      <c r="E22" s="4" t="s">
        <v>117</v>
      </c>
      <c r="F22" s="4" t="s">
        <v>118</v>
      </c>
      <c r="G22" s="4" t="s">
        <v>15</v>
      </c>
      <c r="H22" s="4" t="s">
        <v>16</v>
      </c>
      <c r="I22" s="4" t="s">
        <v>119</v>
      </c>
      <c r="J22" s="4" t="s">
        <v>120</v>
      </c>
      <c r="K22" s="4" t="s">
        <v>121</v>
      </c>
      <c r="L22" s="4" t="s">
        <v>20</v>
      </c>
      <c r="M22" s="4" t="s">
        <v>122</v>
      </c>
      <c r="N22" s="4" t="s">
        <v>123</v>
      </c>
      <c r="O22" s="4" t="s">
        <v>20</v>
      </c>
      <c r="P22" s="4" t="s">
        <v>20</v>
      </c>
      <c r="Q22" s="4" t="s">
        <v>20</v>
      </c>
      <c r="R22" s="4" t="s">
        <v>124</v>
      </c>
      <c r="S22" s="4" t="s">
        <v>20</v>
      </c>
      <c r="T22" s="4" t="s">
        <v>20</v>
      </c>
      <c r="U22" s="4" t="s">
        <v>20</v>
      </c>
      <c r="V22" s="4" t="s">
        <v>125</v>
      </c>
      <c r="W22" s="5"/>
      <c r="X22" s="5"/>
      <c r="Y22" s="5"/>
      <c r="Z22" s="5"/>
      <c r="AA22" s="5"/>
    </row>
    <row r="23">
      <c r="A23" s="4" t="s">
        <v>126</v>
      </c>
      <c r="B23" s="4">
        <v>0.0</v>
      </c>
      <c r="C23" s="5"/>
      <c r="D23" s="5"/>
      <c r="E23" s="5"/>
      <c r="F23" s="5"/>
      <c r="G23" s="5"/>
      <c r="H23" s="5"/>
      <c r="I23" s="5"/>
      <c r="J23" s="5"/>
      <c r="K23" s="5"/>
      <c r="L23" s="5"/>
      <c r="M23" s="5"/>
      <c r="N23" s="5"/>
      <c r="O23" s="5"/>
      <c r="P23" s="5"/>
      <c r="Q23" s="5"/>
      <c r="R23" s="5"/>
      <c r="S23" s="5"/>
      <c r="T23" s="5"/>
      <c r="U23" s="5"/>
      <c r="V23" s="5"/>
      <c r="W23" s="5"/>
      <c r="X23" s="5"/>
      <c r="Y23" s="5"/>
      <c r="Z23" s="5"/>
      <c r="AA23" s="5"/>
    </row>
    <row r="24">
      <c r="A24" s="4" t="s">
        <v>127</v>
      </c>
      <c r="B24" s="4">
        <v>0.0</v>
      </c>
      <c r="C24" s="5"/>
      <c r="D24" s="5"/>
      <c r="E24" s="5"/>
      <c r="F24" s="5"/>
      <c r="G24" s="5"/>
      <c r="H24" s="5"/>
      <c r="I24" s="5"/>
      <c r="J24" s="5"/>
      <c r="K24" s="5"/>
      <c r="L24" s="5"/>
      <c r="M24" s="5"/>
      <c r="N24" s="5"/>
      <c r="O24" s="5"/>
      <c r="P24" s="5"/>
      <c r="Q24" s="5"/>
      <c r="R24" s="5"/>
      <c r="S24" s="5"/>
      <c r="T24" s="5"/>
      <c r="U24" s="5"/>
      <c r="V24" s="5"/>
      <c r="W24" s="5"/>
      <c r="X24" s="5"/>
      <c r="Y24" s="5"/>
      <c r="Z24" s="5"/>
      <c r="AA24" s="5"/>
    </row>
    <row r="25">
      <c r="A25" s="4" t="s">
        <v>128</v>
      </c>
      <c r="B25" s="4">
        <v>0.0</v>
      </c>
      <c r="C25" s="5"/>
      <c r="D25" s="5"/>
      <c r="E25" s="5"/>
      <c r="F25" s="5"/>
      <c r="G25" s="5"/>
      <c r="H25" s="5"/>
      <c r="I25" s="5"/>
      <c r="J25" s="5"/>
      <c r="K25" s="5"/>
      <c r="L25" s="5"/>
      <c r="M25" s="5"/>
      <c r="N25" s="5"/>
      <c r="O25" s="5"/>
      <c r="P25" s="5"/>
      <c r="Q25" s="5"/>
      <c r="R25" s="5"/>
      <c r="S25" s="5"/>
      <c r="T25" s="5"/>
      <c r="U25" s="5"/>
      <c r="V25" s="5"/>
      <c r="W25" s="5"/>
      <c r="X25" s="5"/>
      <c r="Y25" s="5"/>
      <c r="Z25" s="5"/>
      <c r="AA25" s="5"/>
    </row>
    <row r="26">
      <c r="A26" s="4" t="s">
        <v>129</v>
      </c>
      <c r="B26" s="4">
        <v>0.0</v>
      </c>
      <c r="C26" s="5"/>
      <c r="D26" s="5"/>
      <c r="E26" s="5"/>
      <c r="F26" s="5"/>
      <c r="G26" s="5"/>
      <c r="H26" s="5"/>
      <c r="I26" s="5"/>
      <c r="J26" s="5"/>
      <c r="K26" s="5"/>
      <c r="L26" s="5"/>
      <c r="M26" s="5"/>
      <c r="N26" s="5"/>
      <c r="O26" s="5"/>
      <c r="P26" s="5"/>
      <c r="Q26" s="5"/>
      <c r="R26" s="5"/>
      <c r="S26" s="5"/>
      <c r="T26" s="5"/>
      <c r="U26" s="5"/>
      <c r="V26" s="5"/>
      <c r="W26" s="5"/>
      <c r="X26" s="5"/>
      <c r="Y26" s="5"/>
      <c r="Z26" s="5"/>
      <c r="AA26" s="5"/>
    </row>
    <row r="27">
      <c r="A27" s="4" t="s">
        <v>130</v>
      </c>
      <c r="B27" s="4">
        <v>0.0</v>
      </c>
      <c r="C27" s="5"/>
      <c r="D27" s="5"/>
      <c r="E27" s="5"/>
      <c r="F27" s="5"/>
      <c r="G27" s="5"/>
      <c r="H27" s="5"/>
      <c r="I27" s="5"/>
      <c r="J27" s="5"/>
      <c r="K27" s="5"/>
      <c r="L27" s="5"/>
      <c r="M27" s="5"/>
      <c r="N27" s="5"/>
      <c r="O27" s="5"/>
      <c r="P27" s="5"/>
      <c r="Q27" s="5"/>
      <c r="R27" s="5"/>
      <c r="S27" s="5"/>
      <c r="T27" s="5"/>
      <c r="U27" s="5"/>
      <c r="V27" s="5"/>
      <c r="W27" s="5"/>
      <c r="X27" s="5"/>
      <c r="Y27" s="5"/>
      <c r="Z27" s="5"/>
      <c r="AA27" s="5"/>
    </row>
    <row r="28">
      <c r="A28" s="4" t="s">
        <v>131</v>
      </c>
      <c r="B28" s="8" t="s">
        <v>132</v>
      </c>
      <c r="C28" s="9" t="s">
        <v>133</v>
      </c>
      <c r="D28" s="9" t="s">
        <v>134</v>
      </c>
      <c r="E28" s="13">
        <v>46200.0</v>
      </c>
      <c r="F28" s="9" t="s">
        <v>135</v>
      </c>
      <c r="G28" s="9" t="s">
        <v>15</v>
      </c>
      <c r="H28" s="9" t="s">
        <v>16</v>
      </c>
      <c r="I28" s="9" t="s">
        <v>136</v>
      </c>
      <c r="J28" s="9" t="s">
        <v>137</v>
      </c>
      <c r="K28" s="9" t="s">
        <v>138</v>
      </c>
      <c r="L28" s="9" t="s">
        <v>20</v>
      </c>
      <c r="M28" s="9" t="s">
        <v>139</v>
      </c>
      <c r="N28" s="9" t="s">
        <v>20</v>
      </c>
      <c r="O28" s="9" t="s">
        <v>20</v>
      </c>
      <c r="P28" s="9" t="s">
        <v>20</v>
      </c>
      <c r="Q28" s="9" t="s">
        <v>20</v>
      </c>
      <c r="R28" s="9" t="s">
        <v>140</v>
      </c>
      <c r="S28" s="9" t="s">
        <v>20</v>
      </c>
      <c r="T28" s="9" t="s">
        <v>20</v>
      </c>
      <c r="U28" s="9" t="s">
        <v>20</v>
      </c>
      <c r="V28" s="9" t="s">
        <v>141</v>
      </c>
      <c r="W28" s="9"/>
      <c r="X28" s="9"/>
      <c r="Y28" s="9"/>
      <c r="Z28" s="9"/>
      <c r="AA28" s="9"/>
    </row>
    <row r="29">
      <c r="A29" s="4" t="s">
        <v>142</v>
      </c>
      <c r="B29" s="8" t="s">
        <v>143</v>
      </c>
      <c r="C29" s="9" t="s">
        <v>144</v>
      </c>
      <c r="D29" s="9" t="s">
        <v>145</v>
      </c>
      <c r="E29" s="9" t="s">
        <v>146</v>
      </c>
      <c r="F29" s="9" t="s">
        <v>147</v>
      </c>
      <c r="G29" s="9" t="s">
        <v>15</v>
      </c>
      <c r="H29" s="9" t="s">
        <v>16</v>
      </c>
      <c r="I29" s="9" t="s">
        <v>148</v>
      </c>
      <c r="J29" s="9" t="s">
        <v>149</v>
      </c>
      <c r="K29" s="9" t="s">
        <v>150</v>
      </c>
      <c r="L29" s="9" t="s">
        <v>20</v>
      </c>
      <c r="M29" s="9" t="s">
        <v>151</v>
      </c>
      <c r="N29" s="9" t="s">
        <v>20</v>
      </c>
      <c r="O29" s="9" t="s">
        <v>20</v>
      </c>
      <c r="P29" s="9" t="s">
        <v>20</v>
      </c>
      <c r="Q29" s="9" t="s">
        <v>20</v>
      </c>
      <c r="R29" s="9" t="s">
        <v>140</v>
      </c>
      <c r="S29" s="9" t="s">
        <v>20</v>
      </c>
      <c r="T29" s="9" t="s">
        <v>20</v>
      </c>
      <c r="U29" s="9" t="s">
        <v>20</v>
      </c>
      <c r="V29" s="9" t="s">
        <v>152</v>
      </c>
      <c r="W29" s="9"/>
      <c r="X29" s="9"/>
      <c r="Y29" s="9"/>
      <c r="Z29" s="9"/>
      <c r="AA29" s="9"/>
    </row>
    <row r="30">
      <c r="A30" s="4" t="s">
        <v>153</v>
      </c>
      <c r="B30" s="10" t="s">
        <v>154</v>
      </c>
      <c r="C30" s="11" t="s">
        <v>155</v>
      </c>
      <c r="D30" s="11" t="s">
        <v>156</v>
      </c>
      <c r="E30" s="14">
        <v>46259.0</v>
      </c>
      <c r="F30" s="11" t="s">
        <v>157</v>
      </c>
      <c r="G30" s="11" t="s">
        <v>15</v>
      </c>
      <c r="H30" s="11" t="s">
        <v>16</v>
      </c>
      <c r="I30" s="11" t="s">
        <v>158</v>
      </c>
      <c r="J30" s="11" t="s">
        <v>159</v>
      </c>
      <c r="K30" s="11" t="s">
        <v>19</v>
      </c>
      <c r="L30" s="11" t="s">
        <v>20</v>
      </c>
      <c r="M30" s="11" t="s">
        <v>160</v>
      </c>
      <c r="N30" s="11" t="s">
        <v>20</v>
      </c>
      <c r="O30" s="11" t="s">
        <v>20</v>
      </c>
      <c r="P30" s="11" t="s">
        <v>20</v>
      </c>
      <c r="Q30" s="11" t="s">
        <v>20</v>
      </c>
      <c r="R30" s="11" t="s">
        <v>140</v>
      </c>
      <c r="S30" s="11" t="s">
        <v>20</v>
      </c>
      <c r="T30" s="11" t="s">
        <v>20</v>
      </c>
      <c r="U30" s="11" t="s">
        <v>20</v>
      </c>
      <c r="V30" s="11" t="s">
        <v>161</v>
      </c>
      <c r="W30" s="11"/>
      <c r="X30" s="11"/>
      <c r="Y30" s="11"/>
      <c r="Z30" s="11"/>
      <c r="AA30" s="11"/>
    </row>
    <row r="31">
      <c r="A31" s="4" t="s">
        <v>162</v>
      </c>
      <c r="B31" s="4">
        <v>0.0</v>
      </c>
      <c r="C31" s="5"/>
      <c r="D31" s="5"/>
      <c r="E31" s="5"/>
      <c r="F31" s="5"/>
      <c r="G31" s="5"/>
      <c r="H31" s="5"/>
      <c r="I31" s="5"/>
      <c r="J31" s="5"/>
      <c r="K31" s="5"/>
      <c r="L31" s="5"/>
      <c r="M31" s="5"/>
      <c r="N31" s="5"/>
      <c r="O31" s="5"/>
      <c r="P31" s="5"/>
      <c r="Q31" s="5"/>
      <c r="R31" s="5"/>
      <c r="S31" s="5"/>
      <c r="T31" s="5"/>
      <c r="U31" s="5"/>
      <c r="V31" s="5"/>
      <c r="W31" s="5"/>
      <c r="X31" s="5"/>
      <c r="Y31" s="5"/>
      <c r="Z31" s="5"/>
      <c r="AA31" s="5"/>
    </row>
    <row r="32">
      <c r="A32" s="4" t="s">
        <v>163</v>
      </c>
      <c r="B32" s="10" t="s">
        <v>164</v>
      </c>
      <c r="C32" s="11" t="s">
        <v>165</v>
      </c>
      <c r="D32" s="11" t="s">
        <v>166</v>
      </c>
      <c r="E32" s="11" t="s">
        <v>167</v>
      </c>
      <c r="F32" s="11" t="s">
        <v>168</v>
      </c>
      <c r="G32" s="11" t="s">
        <v>15</v>
      </c>
      <c r="H32" s="11" t="s">
        <v>16</v>
      </c>
      <c r="I32" s="11" t="s">
        <v>169</v>
      </c>
      <c r="J32" s="11" t="s">
        <v>170</v>
      </c>
      <c r="K32" s="11" t="s">
        <v>171</v>
      </c>
      <c r="L32" s="11" t="s">
        <v>20</v>
      </c>
      <c r="M32" s="11" t="s">
        <v>172</v>
      </c>
      <c r="N32" s="11" t="s">
        <v>20</v>
      </c>
      <c r="O32" s="11" t="s">
        <v>20</v>
      </c>
      <c r="P32" s="11" t="s">
        <v>20</v>
      </c>
      <c r="Q32" s="11" t="s">
        <v>20</v>
      </c>
      <c r="R32" s="11" t="s">
        <v>140</v>
      </c>
      <c r="S32" s="11" t="s">
        <v>20</v>
      </c>
      <c r="T32" s="11" t="s">
        <v>20</v>
      </c>
      <c r="U32" s="11" t="s">
        <v>20</v>
      </c>
      <c r="V32" s="11" t="s">
        <v>173</v>
      </c>
      <c r="W32" s="11"/>
      <c r="X32" s="11"/>
      <c r="Y32" s="11"/>
      <c r="Z32" s="11"/>
      <c r="AA32" s="11"/>
    </row>
    <row r="33">
      <c r="A33" s="4" t="s">
        <v>174</v>
      </c>
      <c r="B33" s="4">
        <v>0.0</v>
      </c>
      <c r="C33" s="5"/>
      <c r="D33" s="5"/>
      <c r="E33" s="5"/>
      <c r="F33" s="5"/>
      <c r="G33" s="5"/>
      <c r="H33" s="5"/>
      <c r="I33" s="5"/>
      <c r="J33" s="5"/>
      <c r="K33" s="5"/>
      <c r="L33" s="5"/>
      <c r="M33" s="5"/>
      <c r="N33" s="5"/>
      <c r="O33" s="5"/>
      <c r="P33" s="5"/>
      <c r="Q33" s="5"/>
      <c r="R33" s="5"/>
      <c r="S33" s="5"/>
      <c r="T33" s="5"/>
      <c r="U33" s="5"/>
      <c r="V33" s="5"/>
      <c r="W33" s="5"/>
      <c r="X33" s="5"/>
      <c r="Y33" s="5"/>
      <c r="Z33" s="5"/>
      <c r="AA33" s="5"/>
    </row>
    <row r="34">
      <c r="A34" s="4" t="s">
        <v>175</v>
      </c>
      <c r="B34" s="10" t="s">
        <v>176</v>
      </c>
      <c r="C34" s="11" t="s">
        <v>177</v>
      </c>
      <c r="D34" s="11" t="s">
        <v>178</v>
      </c>
      <c r="E34" s="14">
        <v>46288.0</v>
      </c>
      <c r="F34" s="11" t="s">
        <v>179</v>
      </c>
      <c r="G34" s="11" t="s">
        <v>15</v>
      </c>
      <c r="H34" s="11" t="s">
        <v>180</v>
      </c>
      <c r="I34" s="11" t="s">
        <v>181</v>
      </c>
      <c r="J34" s="11" t="s">
        <v>182</v>
      </c>
      <c r="K34" s="11" t="s">
        <v>183</v>
      </c>
      <c r="L34" s="11" t="s">
        <v>20</v>
      </c>
      <c r="M34" s="11" t="s">
        <v>184</v>
      </c>
      <c r="N34" s="11" t="s">
        <v>20</v>
      </c>
      <c r="O34" s="11" t="s">
        <v>20</v>
      </c>
      <c r="P34" s="11" t="s">
        <v>20</v>
      </c>
      <c r="Q34" s="11" t="s">
        <v>20</v>
      </c>
      <c r="R34" s="11" t="s">
        <v>185</v>
      </c>
      <c r="S34" s="11" t="s">
        <v>20</v>
      </c>
      <c r="T34" s="11" t="s">
        <v>20</v>
      </c>
      <c r="U34" s="11" t="s">
        <v>20</v>
      </c>
      <c r="V34" s="11" t="s">
        <v>186</v>
      </c>
      <c r="W34" s="11"/>
      <c r="X34" s="11"/>
      <c r="Y34" s="11"/>
      <c r="Z34" s="11"/>
      <c r="AA34" s="11"/>
    </row>
    <row r="35">
      <c r="A35" s="4" t="s">
        <v>187</v>
      </c>
      <c r="B35" s="4" t="s">
        <v>188</v>
      </c>
      <c r="C35" s="4" t="s">
        <v>189</v>
      </c>
      <c r="D35" s="4" t="s">
        <v>190</v>
      </c>
      <c r="E35" s="4" t="s">
        <v>191</v>
      </c>
      <c r="F35" s="4" t="s">
        <v>192</v>
      </c>
      <c r="G35" s="4" t="s">
        <v>15</v>
      </c>
      <c r="H35" s="4" t="s">
        <v>16</v>
      </c>
      <c r="I35" s="4" t="s">
        <v>193</v>
      </c>
      <c r="J35" s="4" t="s">
        <v>194</v>
      </c>
      <c r="K35" s="4" t="s">
        <v>19</v>
      </c>
      <c r="L35" s="4" t="s">
        <v>20</v>
      </c>
      <c r="M35" s="4" t="s">
        <v>195</v>
      </c>
      <c r="N35" s="4" t="s">
        <v>22</v>
      </c>
      <c r="O35" s="4" t="s">
        <v>23</v>
      </c>
      <c r="P35" s="4" t="s">
        <v>20</v>
      </c>
      <c r="Q35" s="4" t="s">
        <v>20</v>
      </c>
      <c r="R35" s="4" t="s">
        <v>24</v>
      </c>
      <c r="S35" s="4" t="s">
        <v>20</v>
      </c>
      <c r="T35" s="4" t="s">
        <v>20</v>
      </c>
      <c r="U35" s="4" t="s">
        <v>20</v>
      </c>
      <c r="V35" s="4" t="s">
        <v>196</v>
      </c>
      <c r="W35" s="5"/>
      <c r="X35" s="5"/>
      <c r="Y35" s="5"/>
      <c r="Z35" s="5"/>
      <c r="AA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c r="A38" s="6" t="s">
        <v>197</v>
      </c>
      <c r="B38" s="7">
        <f>31/53</f>
        <v>0.5849056604</v>
      </c>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c r="A39" s="4" t="s">
        <v>198</v>
      </c>
      <c r="B39" s="4">
        <v>0.0</v>
      </c>
      <c r="C39" s="5"/>
      <c r="D39" s="5"/>
      <c r="E39" s="5"/>
      <c r="F39" s="5"/>
      <c r="G39" s="5"/>
      <c r="H39" s="5"/>
      <c r="I39" s="5"/>
      <c r="J39" s="5"/>
      <c r="K39" s="5"/>
      <c r="L39" s="5"/>
      <c r="M39" s="5"/>
      <c r="N39" s="5"/>
      <c r="O39" s="5"/>
      <c r="P39" s="5"/>
      <c r="Q39" s="5"/>
      <c r="R39" s="5"/>
      <c r="S39" s="5"/>
      <c r="T39" s="5"/>
      <c r="U39" s="5"/>
      <c r="V39" s="5"/>
      <c r="W39" s="5"/>
      <c r="X39" s="5"/>
      <c r="Y39" s="5"/>
      <c r="Z39" s="5"/>
      <c r="AA39" s="5"/>
    </row>
    <row r="40">
      <c r="A40" s="4" t="s">
        <v>199</v>
      </c>
      <c r="B40" s="4">
        <v>0.0</v>
      </c>
      <c r="C40" s="5"/>
      <c r="D40" s="5"/>
      <c r="E40" s="5"/>
      <c r="F40" s="5"/>
      <c r="G40" s="5"/>
      <c r="H40" s="5"/>
      <c r="I40" s="5"/>
      <c r="J40" s="5"/>
      <c r="K40" s="5"/>
      <c r="L40" s="5"/>
      <c r="M40" s="5"/>
      <c r="N40" s="5"/>
      <c r="O40" s="5"/>
      <c r="P40" s="5"/>
      <c r="Q40" s="5"/>
      <c r="R40" s="5"/>
      <c r="S40" s="5"/>
      <c r="T40" s="5"/>
      <c r="U40" s="5"/>
      <c r="V40" s="5"/>
      <c r="W40" s="5"/>
      <c r="X40" s="5"/>
      <c r="Y40" s="5"/>
      <c r="Z40" s="5"/>
      <c r="AA40" s="5"/>
    </row>
    <row r="41">
      <c r="A41" s="4" t="s">
        <v>200</v>
      </c>
      <c r="B41" s="4">
        <v>0.0</v>
      </c>
      <c r="C41" s="5"/>
      <c r="D41" s="5"/>
      <c r="E41" s="5"/>
      <c r="F41" s="5"/>
      <c r="G41" s="5"/>
      <c r="H41" s="5"/>
      <c r="I41" s="5"/>
      <c r="J41" s="5"/>
      <c r="K41" s="5"/>
      <c r="L41" s="5"/>
      <c r="M41" s="5"/>
      <c r="N41" s="5"/>
      <c r="O41" s="5"/>
      <c r="P41" s="5"/>
      <c r="Q41" s="5"/>
      <c r="R41" s="5"/>
      <c r="S41" s="5"/>
      <c r="T41" s="5"/>
      <c r="U41" s="5"/>
      <c r="V41" s="5"/>
      <c r="W41" s="5"/>
      <c r="X41" s="5"/>
      <c r="Y41" s="5"/>
      <c r="Z41" s="5"/>
      <c r="AA41" s="5"/>
    </row>
    <row r="42">
      <c r="A42" s="4" t="s">
        <v>201</v>
      </c>
      <c r="B42" s="10" t="s">
        <v>202</v>
      </c>
      <c r="C42" s="11" t="s">
        <v>203</v>
      </c>
      <c r="D42" s="11" t="s">
        <v>204</v>
      </c>
      <c r="E42" s="11" t="s">
        <v>205</v>
      </c>
      <c r="F42" s="11" t="s">
        <v>206</v>
      </c>
      <c r="G42" s="11" t="s">
        <v>15</v>
      </c>
      <c r="H42" s="11" t="s">
        <v>16</v>
      </c>
      <c r="I42" s="11" t="s">
        <v>207</v>
      </c>
      <c r="J42" s="11" t="s">
        <v>208</v>
      </c>
      <c r="K42" s="11" t="s">
        <v>209</v>
      </c>
      <c r="L42" s="11" t="s">
        <v>20</v>
      </c>
      <c r="M42" s="11" t="s">
        <v>210</v>
      </c>
      <c r="N42" s="11" t="s">
        <v>22</v>
      </c>
      <c r="O42" s="11" t="s">
        <v>23</v>
      </c>
      <c r="P42" s="11" t="s">
        <v>20</v>
      </c>
      <c r="Q42" s="11" t="s">
        <v>20</v>
      </c>
      <c r="R42" s="11" t="s">
        <v>24</v>
      </c>
      <c r="S42" s="11" t="s">
        <v>20</v>
      </c>
      <c r="T42" s="11" t="s">
        <v>20</v>
      </c>
      <c r="U42" s="11" t="s">
        <v>20</v>
      </c>
      <c r="V42" s="11" t="s">
        <v>211</v>
      </c>
      <c r="W42" s="11"/>
      <c r="X42" s="11"/>
      <c r="Y42" s="11"/>
      <c r="Z42" s="11"/>
      <c r="AA42" s="11"/>
    </row>
    <row r="43">
      <c r="A43" s="4" t="s">
        <v>212</v>
      </c>
      <c r="B43" s="4">
        <v>0.0</v>
      </c>
      <c r="C43" s="5"/>
      <c r="D43" s="5"/>
      <c r="E43" s="5"/>
      <c r="F43" s="5"/>
      <c r="G43" s="5"/>
      <c r="H43" s="5"/>
      <c r="I43" s="5"/>
      <c r="J43" s="5"/>
      <c r="K43" s="5"/>
      <c r="L43" s="5"/>
      <c r="M43" s="5"/>
      <c r="N43" s="5"/>
      <c r="O43" s="5"/>
      <c r="P43" s="5"/>
      <c r="Q43" s="5"/>
      <c r="R43" s="5"/>
      <c r="S43" s="5"/>
      <c r="T43" s="5"/>
      <c r="U43" s="5"/>
      <c r="V43" s="5"/>
      <c r="W43" s="5"/>
      <c r="X43" s="5"/>
      <c r="Y43" s="5"/>
      <c r="Z43" s="5"/>
      <c r="AA43" s="5"/>
    </row>
    <row r="44">
      <c r="A44" s="4" t="s">
        <v>213</v>
      </c>
      <c r="B44" s="10" t="s">
        <v>214</v>
      </c>
      <c r="C44" s="11" t="s">
        <v>215</v>
      </c>
      <c r="D44" s="11" t="s">
        <v>216</v>
      </c>
      <c r="E44" s="11" t="s">
        <v>217</v>
      </c>
      <c r="F44" s="11" t="s">
        <v>218</v>
      </c>
      <c r="G44" s="11" t="s">
        <v>15</v>
      </c>
      <c r="H44" s="11" t="s">
        <v>16</v>
      </c>
      <c r="I44" s="11" t="s">
        <v>219</v>
      </c>
      <c r="J44" s="11" t="s">
        <v>220</v>
      </c>
      <c r="K44" s="11" t="s">
        <v>221</v>
      </c>
      <c r="L44" s="11" t="s">
        <v>20</v>
      </c>
      <c r="M44" s="11" t="s">
        <v>222</v>
      </c>
      <c r="N44" s="11" t="s">
        <v>22</v>
      </c>
      <c r="O44" s="11" t="s">
        <v>23</v>
      </c>
      <c r="P44" s="11" t="s">
        <v>20</v>
      </c>
      <c r="Q44" s="11" t="s">
        <v>20</v>
      </c>
      <c r="R44" s="11" t="s">
        <v>24</v>
      </c>
      <c r="S44" s="11" t="s">
        <v>20</v>
      </c>
      <c r="T44" s="11" t="s">
        <v>20</v>
      </c>
      <c r="U44" s="11" t="s">
        <v>20</v>
      </c>
      <c r="V44" s="11" t="s">
        <v>223</v>
      </c>
      <c r="W44" s="11"/>
      <c r="X44" s="11"/>
      <c r="Y44" s="11"/>
      <c r="Z44" s="11"/>
      <c r="AA44" s="11"/>
    </row>
    <row r="45">
      <c r="A45" s="4" t="s">
        <v>224</v>
      </c>
      <c r="B45" s="10" t="s">
        <v>225</v>
      </c>
      <c r="C45" s="11" t="s">
        <v>226</v>
      </c>
      <c r="D45" s="11" t="s">
        <v>227</v>
      </c>
      <c r="E45" s="11" t="s">
        <v>228</v>
      </c>
      <c r="F45" s="11" t="s">
        <v>229</v>
      </c>
      <c r="G45" s="11" t="s">
        <v>15</v>
      </c>
      <c r="H45" s="11" t="s">
        <v>16</v>
      </c>
      <c r="I45" s="11" t="s">
        <v>230</v>
      </c>
      <c r="J45" s="11" t="s">
        <v>231</v>
      </c>
      <c r="K45" s="11" t="s">
        <v>232</v>
      </c>
      <c r="L45" s="11" t="s">
        <v>20</v>
      </c>
      <c r="M45" s="11" t="s">
        <v>233</v>
      </c>
      <c r="N45" s="11" t="s">
        <v>22</v>
      </c>
      <c r="O45" s="11" t="s">
        <v>71</v>
      </c>
      <c r="P45" s="11" t="s">
        <v>20</v>
      </c>
      <c r="Q45" s="11" t="s">
        <v>20</v>
      </c>
      <c r="R45" s="11" t="s">
        <v>24</v>
      </c>
      <c r="S45" s="11" t="s">
        <v>20</v>
      </c>
      <c r="T45" s="11" t="s">
        <v>20</v>
      </c>
      <c r="U45" s="11" t="s">
        <v>20</v>
      </c>
      <c r="V45" s="11" t="s">
        <v>234</v>
      </c>
      <c r="W45" s="11"/>
      <c r="X45" s="11"/>
      <c r="Y45" s="11"/>
      <c r="Z45" s="11"/>
      <c r="AA45" s="11"/>
    </row>
    <row r="46">
      <c r="A46" s="4" t="s">
        <v>235</v>
      </c>
      <c r="B46" s="4">
        <v>0.0</v>
      </c>
      <c r="C46" s="5"/>
      <c r="D46" s="5"/>
      <c r="E46" s="5"/>
      <c r="F46" s="5"/>
      <c r="G46" s="5"/>
      <c r="H46" s="5"/>
      <c r="I46" s="5"/>
      <c r="J46" s="5"/>
      <c r="K46" s="5"/>
      <c r="L46" s="5"/>
      <c r="M46" s="5"/>
      <c r="N46" s="5"/>
      <c r="O46" s="5"/>
      <c r="P46" s="5"/>
      <c r="Q46" s="5"/>
      <c r="R46" s="5"/>
      <c r="S46" s="5"/>
      <c r="T46" s="5"/>
      <c r="U46" s="5"/>
      <c r="V46" s="5"/>
      <c r="W46" s="5"/>
      <c r="X46" s="5"/>
      <c r="Y46" s="5"/>
      <c r="Z46" s="5"/>
      <c r="AA46" s="5"/>
    </row>
    <row r="47">
      <c r="A47" s="4" t="s">
        <v>236</v>
      </c>
      <c r="B47" s="10" t="s">
        <v>237</v>
      </c>
      <c r="C47" s="11" t="s">
        <v>238</v>
      </c>
      <c r="D47" s="11" t="s">
        <v>239</v>
      </c>
      <c r="E47" s="11" t="s">
        <v>240</v>
      </c>
      <c r="F47" s="11" t="s">
        <v>241</v>
      </c>
      <c r="G47" s="11" t="s">
        <v>15</v>
      </c>
      <c r="H47" s="11" t="s">
        <v>16</v>
      </c>
      <c r="I47" s="11" t="s">
        <v>242</v>
      </c>
      <c r="J47" s="11" t="s">
        <v>243</v>
      </c>
      <c r="K47" s="11" t="s">
        <v>244</v>
      </c>
      <c r="L47" s="11" t="s">
        <v>20</v>
      </c>
      <c r="M47" s="11" t="s">
        <v>245</v>
      </c>
      <c r="N47" s="11" t="s">
        <v>22</v>
      </c>
      <c r="O47" s="11" t="s">
        <v>23</v>
      </c>
      <c r="P47" s="11" t="s">
        <v>20</v>
      </c>
      <c r="Q47" s="11" t="s">
        <v>20</v>
      </c>
      <c r="R47" s="11" t="s">
        <v>24</v>
      </c>
      <c r="S47" s="11" t="s">
        <v>20</v>
      </c>
      <c r="T47" s="11" t="s">
        <v>20</v>
      </c>
      <c r="U47" s="11" t="s">
        <v>20</v>
      </c>
      <c r="V47" s="11" t="s">
        <v>246</v>
      </c>
      <c r="W47" s="11"/>
      <c r="X47" s="11"/>
      <c r="Y47" s="11"/>
      <c r="Z47" s="11"/>
      <c r="AA47" s="11"/>
    </row>
    <row r="48">
      <c r="A48" s="4" t="s">
        <v>247</v>
      </c>
      <c r="B48" s="10" t="s">
        <v>248</v>
      </c>
      <c r="C48" s="11" t="s">
        <v>249</v>
      </c>
      <c r="D48" s="11" t="s">
        <v>250</v>
      </c>
      <c r="E48" s="11" t="s">
        <v>251</v>
      </c>
      <c r="F48" s="11" t="s">
        <v>252</v>
      </c>
      <c r="G48" s="11" t="s">
        <v>15</v>
      </c>
      <c r="H48" s="11" t="s">
        <v>16</v>
      </c>
      <c r="I48" s="11" t="s">
        <v>253</v>
      </c>
      <c r="J48" s="11" t="s">
        <v>254</v>
      </c>
      <c r="K48" s="11" t="s">
        <v>255</v>
      </c>
      <c r="L48" s="11" t="s">
        <v>20</v>
      </c>
      <c r="M48" s="11" t="s">
        <v>256</v>
      </c>
      <c r="N48" s="11" t="s">
        <v>22</v>
      </c>
      <c r="O48" s="11" t="s">
        <v>23</v>
      </c>
      <c r="P48" s="11" t="s">
        <v>20</v>
      </c>
      <c r="Q48" s="11" t="s">
        <v>20</v>
      </c>
      <c r="R48" s="11" t="s">
        <v>24</v>
      </c>
      <c r="S48" s="11" t="s">
        <v>20</v>
      </c>
      <c r="T48" s="11" t="s">
        <v>20</v>
      </c>
      <c r="U48" s="11" t="s">
        <v>20</v>
      </c>
      <c r="V48" s="11" t="s">
        <v>257</v>
      </c>
      <c r="W48" s="11"/>
      <c r="X48" s="11"/>
      <c r="Y48" s="11"/>
      <c r="Z48" s="11"/>
      <c r="AA48" s="11"/>
    </row>
    <row r="49">
      <c r="A49" s="4" t="s">
        <v>258</v>
      </c>
      <c r="B49" s="10" t="s">
        <v>259</v>
      </c>
      <c r="C49" s="11" t="s">
        <v>260</v>
      </c>
      <c r="D49" s="11" t="s">
        <v>261</v>
      </c>
      <c r="E49" s="11" t="s">
        <v>262</v>
      </c>
      <c r="F49" s="11" t="s">
        <v>263</v>
      </c>
      <c r="G49" s="11" t="s">
        <v>15</v>
      </c>
      <c r="H49" s="11" t="s">
        <v>16</v>
      </c>
      <c r="I49" s="11" t="s">
        <v>193</v>
      </c>
      <c r="J49" s="11" t="s">
        <v>264</v>
      </c>
      <c r="K49" s="11" t="s">
        <v>265</v>
      </c>
      <c r="L49" s="11" t="s">
        <v>20</v>
      </c>
      <c r="M49" s="11" t="s">
        <v>266</v>
      </c>
      <c r="N49" s="11" t="s">
        <v>267</v>
      </c>
      <c r="O49" s="11" t="s">
        <v>71</v>
      </c>
      <c r="P49" s="11" t="s">
        <v>20</v>
      </c>
      <c r="Q49" s="11" t="s">
        <v>20</v>
      </c>
      <c r="R49" s="11" t="s">
        <v>268</v>
      </c>
      <c r="S49" s="11" t="s">
        <v>269</v>
      </c>
      <c r="T49" s="11" t="s">
        <v>20</v>
      </c>
      <c r="U49" s="11" t="s">
        <v>20</v>
      </c>
      <c r="V49" s="11" t="s">
        <v>270</v>
      </c>
      <c r="W49" s="11"/>
      <c r="X49" s="11"/>
      <c r="Y49" s="11"/>
      <c r="Z49" s="11"/>
      <c r="AA49" s="11"/>
    </row>
    <row r="50">
      <c r="A50" s="4" t="s">
        <v>271</v>
      </c>
      <c r="B50" s="10" t="s">
        <v>272</v>
      </c>
      <c r="C50" s="11" t="s">
        <v>273</v>
      </c>
      <c r="D50" s="11" t="s">
        <v>274</v>
      </c>
      <c r="E50" s="11" t="s">
        <v>275</v>
      </c>
      <c r="F50" s="11" t="s">
        <v>276</v>
      </c>
      <c r="G50" s="11" t="s">
        <v>15</v>
      </c>
      <c r="H50" s="11" t="s">
        <v>16</v>
      </c>
      <c r="I50" s="11" t="s">
        <v>193</v>
      </c>
      <c r="J50" s="11" t="s">
        <v>277</v>
      </c>
      <c r="K50" s="11" t="s">
        <v>278</v>
      </c>
      <c r="L50" s="11" t="s">
        <v>279</v>
      </c>
      <c r="M50" s="11" t="s">
        <v>280</v>
      </c>
      <c r="N50" s="11" t="s">
        <v>22</v>
      </c>
      <c r="O50" s="11" t="s">
        <v>23</v>
      </c>
      <c r="P50" s="11" t="s">
        <v>20</v>
      </c>
      <c r="Q50" s="11" t="s">
        <v>20</v>
      </c>
      <c r="R50" s="11" t="s">
        <v>281</v>
      </c>
      <c r="S50" s="11" t="s">
        <v>20</v>
      </c>
      <c r="T50" s="11" t="s">
        <v>20</v>
      </c>
      <c r="U50" s="11" t="s">
        <v>20</v>
      </c>
      <c r="V50" s="11" t="s">
        <v>282</v>
      </c>
      <c r="W50" s="11"/>
      <c r="X50" s="11"/>
      <c r="Y50" s="11"/>
      <c r="Z50" s="11"/>
      <c r="AA50" s="11"/>
    </row>
    <row r="51">
      <c r="A51" s="4" t="s">
        <v>283</v>
      </c>
      <c r="B51" s="4">
        <v>0.0</v>
      </c>
      <c r="C51" s="5"/>
      <c r="D51" s="5"/>
      <c r="E51" s="5"/>
      <c r="F51" s="5"/>
      <c r="G51" s="5"/>
      <c r="H51" s="5"/>
      <c r="I51" s="5"/>
      <c r="J51" s="5"/>
      <c r="K51" s="5"/>
      <c r="L51" s="5"/>
      <c r="M51" s="5"/>
      <c r="N51" s="5"/>
      <c r="O51" s="5"/>
      <c r="P51" s="5"/>
      <c r="Q51" s="5"/>
      <c r="R51" s="5"/>
      <c r="S51" s="5"/>
      <c r="T51" s="5"/>
      <c r="U51" s="5"/>
      <c r="V51" s="5"/>
      <c r="W51" s="5"/>
      <c r="X51" s="5"/>
      <c r="Y51" s="5"/>
      <c r="Z51" s="5"/>
      <c r="AA51" s="5"/>
    </row>
    <row r="52">
      <c r="A52" s="4" t="s">
        <v>284</v>
      </c>
      <c r="B52" s="10" t="s">
        <v>285</v>
      </c>
      <c r="C52" s="11" t="s">
        <v>286</v>
      </c>
      <c r="D52" s="11" t="s">
        <v>287</v>
      </c>
      <c r="E52" s="11" t="s">
        <v>288</v>
      </c>
      <c r="F52" s="11" t="s">
        <v>289</v>
      </c>
      <c r="G52" s="11" t="s">
        <v>15</v>
      </c>
      <c r="H52" s="11" t="s">
        <v>16</v>
      </c>
      <c r="I52" s="11" t="s">
        <v>290</v>
      </c>
      <c r="J52" s="11" t="s">
        <v>291</v>
      </c>
      <c r="K52" s="11" t="s">
        <v>292</v>
      </c>
      <c r="L52" s="11" t="s">
        <v>20</v>
      </c>
      <c r="M52" s="11" t="s">
        <v>293</v>
      </c>
      <c r="N52" s="11" t="s">
        <v>22</v>
      </c>
      <c r="O52" s="11" t="s">
        <v>23</v>
      </c>
      <c r="P52" s="11" t="s">
        <v>20</v>
      </c>
      <c r="Q52" s="11" t="s">
        <v>20</v>
      </c>
      <c r="R52" s="11" t="s">
        <v>24</v>
      </c>
      <c r="S52" s="11" t="s">
        <v>20</v>
      </c>
      <c r="T52" s="11" t="s">
        <v>20</v>
      </c>
      <c r="U52" s="11" t="s">
        <v>20</v>
      </c>
      <c r="V52" s="11" t="s">
        <v>294</v>
      </c>
      <c r="W52" s="11"/>
      <c r="X52" s="11"/>
      <c r="Y52" s="11"/>
      <c r="Z52" s="11"/>
      <c r="AA52" s="11"/>
    </row>
    <row r="53">
      <c r="A53" s="4" t="s">
        <v>295</v>
      </c>
      <c r="B53" s="4">
        <v>0.0</v>
      </c>
      <c r="C53" s="5"/>
      <c r="D53" s="5"/>
      <c r="E53" s="5"/>
      <c r="F53" s="5"/>
      <c r="G53" s="5"/>
      <c r="H53" s="5"/>
      <c r="I53" s="5"/>
      <c r="J53" s="5"/>
      <c r="K53" s="5"/>
      <c r="L53" s="5"/>
      <c r="M53" s="5"/>
      <c r="N53" s="5"/>
      <c r="O53" s="5"/>
      <c r="P53" s="5"/>
      <c r="Q53" s="5"/>
      <c r="R53" s="5"/>
      <c r="S53" s="5"/>
      <c r="T53" s="5"/>
      <c r="U53" s="5"/>
      <c r="V53" s="5"/>
      <c r="W53" s="5"/>
      <c r="X53" s="5"/>
      <c r="Y53" s="5"/>
      <c r="Z53" s="5"/>
      <c r="AA53" s="5"/>
    </row>
    <row r="54">
      <c r="A54" s="4" t="s">
        <v>296</v>
      </c>
      <c r="B54" s="10" t="s">
        <v>297</v>
      </c>
      <c r="C54" s="11" t="s">
        <v>298</v>
      </c>
      <c r="D54" s="11" t="s">
        <v>299</v>
      </c>
      <c r="E54" s="11" t="s">
        <v>300</v>
      </c>
      <c r="F54" s="11" t="s">
        <v>301</v>
      </c>
      <c r="G54" s="11" t="s">
        <v>15</v>
      </c>
      <c r="H54" s="11" t="s">
        <v>16</v>
      </c>
      <c r="I54" s="11" t="s">
        <v>302</v>
      </c>
      <c r="J54" s="11" t="s">
        <v>303</v>
      </c>
      <c r="K54" s="11" t="s">
        <v>304</v>
      </c>
      <c r="L54" s="11" t="s">
        <v>20</v>
      </c>
      <c r="M54" s="11" t="s">
        <v>305</v>
      </c>
      <c r="N54" s="11" t="s">
        <v>22</v>
      </c>
      <c r="O54" s="11" t="s">
        <v>71</v>
      </c>
      <c r="P54" s="11" t="s">
        <v>20</v>
      </c>
      <c r="Q54" s="11" t="s">
        <v>20</v>
      </c>
      <c r="R54" s="11" t="s">
        <v>24</v>
      </c>
      <c r="S54" s="11" t="s">
        <v>20</v>
      </c>
      <c r="T54" s="11" t="s">
        <v>20</v>
      </c>
      <c r="U54" s="11" t="s">
        <v>20</v>
      </c>
      <c r="V54" s="11" t="s">
        <v>306</v>
      </c>
      <c r="W54" s="11"/>
      <c r="X54" s="11"/>
      <c r="Y54" s="11"/>
      <c r="Z54" s="11"/>
      <c r="AA54" s="11"/>
    </row>
    <row r="55">
      <c r="A55" s="4" t="s">
        <v>307</v>
      </c>
      <c r="B55" s="10" t="s">
        <v>308</v>
      </c>
      <c r="C55" s="11" t="s">
        <v>309</v>
      </c>
      <c r="D55" s="11" t="s">
        <v>310</v>
      </c>
      <c r="E55" s="11" t="s">
        <v>311</v>
      </c>
      <c r="F55" s="11" t="s">
        <v>312</v>
      </c>
      <c r="G55" s="11" t="s">
        <v>15</v>
      </c>
      <c r="H55" s="11" t="s">
        <v>16</v>
      </c>
      <c r="I55" s="11" t="s">
        <v>313</v>
      </c>
      <c r="J55" s="11" t="s">
        <v>314</v>
      </c>
      <c r="K55" s="11" t="s">
        <v>315</v>
      </c>
      <c r="L55" s="11" t="s">
        <v>20</v>
      </c>
      <c r="M55" s="11" t="s">
        <v>316</v>
      </c>
      <c r="N55" s="11" t="s">
        <v>22</v>
      </c>
      <c r="O55" s="11" t="s">
        <v>23</v>
      </c>
      <c r="P55" s="11" t="s">
        <v>20</v>
      </c>
      <c r="Q55" s="11" t="s">
        <v>20</v>
      </c>
      <c r="R55" s="11" t="s">
        <v>24</v>
      </c>
      <c r="S55" s="11" t="s">
        <v>20</v>
      </c>
      <c r="T55" s="11" t="s">
        <v>20</v>
      </c>
      <c r="U55" s="11" t="s">
        <v>20</v>
      </c>
      <c r="V55" s="11" t="s">
        <v>317</v>
      </c>
      <c r="W55" s="11"/>
      <c r="X55" s="11"/>
      <c r="Y55" s="11"/>
      <c r="Z55" s="11"/>
      <c r="AA55" s="11"/>
    </row>
    <row r="56">
      <c r="A56" s="4" t="s">
        <v>318</v>
      </c>
      <c r="B56" s="10" t="s">
        <v>319</v>
      </c>
      <c r="C56" s="11" t="s">
        <v>320</v>
      </c>
      <c r="D56" s="11" t="s">
        <v>321</v>
      </c>
      <c r="E56" s="11" t="s">
        <v>322</v>
      </c>
      <c r="F56" s="11" t="s">
        <v>323</v>
      </c>
      <c r="G56" s="11" t="s">
        <v>15</v>
      </c>
      <c r="H56" s="11" t="s">
        <v>16</v>
      </c>
      <c r="I56" s="11" t="s">
        <v>324</v>
      </c>
      <c r="J56" s="11" t="s">
        <v>325</v>
      </c>
      <c r="K56" s="11" t="s">
        <v>326</v>
      </c>
      <c r="L56" s="11" t="s">
        <v>20</v>
      </c>
      <c r="M56" s="11" t="s">
        <v>327</v>
      </c>
      <c r="N56" s="11" t="s">
        <v>22</v>
      </c>
      <c r="O56" s="11" t="s">
        <v>71</v>
      </c>
      <c r="P56" s="11" t="s">
        <v>20</v>
      </c>
      <c r="Q56" s="11" t="s">
        <v>20</v>
      </c>
      <c r="R56" s="11" t="s">
        <v>24</v>
      </c>
      <c r="S56" s="11" t="s">
        <v>20</v>
      </c>
      <c r="T56" s="11" t="s">
        <v>20</v>
      </c>
      <c r="U56" s="11" t="s">
        <v>20</v>
      </c>
      <c r="V56" s="11" t="s">
        <v>328</v>
      </c>
      <c r="W56" s="11"/>
      <c r="X56" s="11"/>
      <c r="Y56" s="11"/>
      <c r="Z56" s="11"/>
      <c r="AA56" s="11"/>
    </row>
    <row r="57">
      <c r="A57" s="4" t="s">
        <v>329</v>
      </c>
      <c r="B57" s="10" t="s">
        <v>330</v>
      </c>
      <c r="C57" s="11" t="s">
        <v>331</v>
      </c>
      <c r="D57" s="11" t="s">
        <v>332</v>
      </c>
      <c r="E57" s="11" t="s">
        <v>333</v>
      </c>
      <c r="F57" s="11" t="s">
        <v>334</v>
      </c>
      <c r="G57" s="11" t="s">
        <v>15</v>
      </c>
      <c r="H57" s="11" t="s">
        <v>16</v>
      </c>
      <c r="I57" s="11" t="s">
        <v>335</v>
      </c>
      <c r="J57" s="11" t="s">
        <v>336</v>
      </c>
      <c r="K57" s="11" t="s">
        <v>337</v>
      </c>
      <c r="L57" s="11" t="s">
        <v>20</v>
      </c>
      <c r="M57" s="11" t="s">
        <v>338</v>
      </c>
      <c r="N57" s="11" t="s">
        <v>22</v>
      </c>
      <c r="O57" s="11" t="s">
        <v>71</v>
      </c>
      <c r="P57" s="11" t="s">
        <v>20</v>
      </c>
      <c r="Q57" s="11" t="s">
        <v>20</v>
      </c>
      <c r="R57" s="11" t="s">
        <v>24</v>
      </c>
      <c r="S57" s="11" t="s">
        <v>20</v>
      </c>
      <c r="T57" s="11" t="s">
        <v>20</v>
      </c>
      <c r="U57" s="11" t="s">
        <v>20</v>
      </c>
      <c r="V57" s="11" t="s">
        <v>339</v>
      </c>
      <c r="W57" s="11"/>
      <c r="X57" s="11"/>
      <c r="Y57" s="11"/>
      <c r="Z57" s="11"/>
      <c r="AA57" s="11"/>
    </row>
    <row r="58">
      <c r="A58" s="4" t="s">
        <v>340</v>
      </c>
      <c r="B58" s="10" t="s">
        <v>341</v>
      </c>
      <c r="C58" s="11" t="s">
        <v>342</v>
      </c>
      <c r="D58" s="11" t="s">
        <v>343</v>
      </c>
      <c r="E58" s="11" t="s">
        <v>344</v>
      </c>
      <c r="F58" s="11" t="s">
        <v>345</v>
      </c>
      <c r="G58" s="11" t="s">
        <v>15</v>
      </c>
      <c r="H58" s="11" t="s">
        <v>16</v>
      </c>
      <c r="I58" s="11" t="s">
        <v>346</v>
      </c>
      <c r="J58" s="11" t="s">
        <v>347</v>
      </c>
      <c r="K58" s="11" t="s">
        <v>348</v>
      </c>
      <c r="L58" s="11" t="s">
        <v>20</v>
      </c>
      <c r="M58" s="11" t="s">
        <v>349</v>
      </c>
      <c r="N58" s="11" t="s">
        <v>22</v>
      </c>
      <c r="O58" s="11" t="s">
        <v>71</v>
      </c>
      <c r="P58" s="11" t="s">
        <v>20</v>
      </c>
      <c r="Q58" s="11" t="s">
        <v>20</v>
      </c>
      <c r="R58" s="11" t="s">
        <v>24</v>
      </c>
      <c r="S58" s="11" t="s">
        <v>20</v>
      </c>
      <c r="T58" s="11" t="s">
        <v>20</v>
      </c>
      <c r="U58" s="11" t="s">
        <v>20</v>
      </c>
      <c r="V58" s="11" t="s">
        <v>350</v>
      </c>
      <c r="W58" s="11"/>
      <c r="X58" s="11"/>
      <c r="Y58" s="11"/>
      <c r="Z58" s="11"/>
      <c r="AA58" s="11"/>
    </row>
    <row r="59">
      <c r="A59" s="4" t="s">
        <v>351</v>
      </c>
      <c r="B59" s="10" t="s">
        <v>352</v>
      </c>
      <c r="C59" s="11" t="s">
        <v>353</v>
      </c>
      <c r="D59" s="11" t="s">
        <v>354</v>
      </c>
      <c r="E59" s="11" t="s">
        <v>355</v>
      </c>
      <c r="F59" s="11" t="s">
        <v>356</v>
      </c>
      <c r="G59" s="11" t="s">
        <v>15</v>
      </c>
      <c r="H59" s="11" t="s">
        <v>16</v>
      </c>
      <c r="I59" s="11" t="s">
        <v>193</v>
      </c>
      <c r="J59" s="11" t="s">
        <v>357</v>
      </c>
      <c r="K59" s="11" t="s">
        <v>348</v>
      </c>
      <c r="L59" s="11" t="s">
        <v>20</v>
      </c>
      <c r="M59" s="11" t="s">
        <v>358</v>
      </c>
      <c r="N59" s="11" t="s">
        <v>22</v>
      </c>
      <c r="O59" s="11" t="s">
        <v>23</v>
      </c>
      <c r="P59" s="11" t="s">
        <v>20</v>
      </c>
      <c r="Q59" s="11" t="s">
        <v>20</v>
      </c>
      <c r="R59" s="11" t="s">
        <v>24</v>
      </c>
      <c r="S59" s="11" t="s">
        <v>20</v>
      </c>
      <c r="T59" s="11" t="s">
        <v>20</v>
      </c>
      <c r="U59" s="11" t="s">
        <v>20</v>
      </c>
      <c r="V59" s="11" t="s">
        <v>359</v>
      </c>
      <c r="W59" s="11"/>
      <c r="X59" s="11"/>
      <c r="Y59" s="11"/>
      <c r="Z59" s="11"/>
      <c r="AA59" s="11"/>
    </row>
    <row r="60">
      <c r="A60" s="4" t="s">
        <v>360</v>
      </c>
      <c r="B60" s="10" t="s">
        <v>361</v>
      </c>
      <c r="C60" s="11" t="s">
        <v>362</v>
      </c>
      <c r="D60" s="11" t="s">
        <v>363</v>
      </c>
      <c r="E60" s="11" t="s">
        <v>364</v>
      </c>
      <c r="F60" s="11" t="s">
        <v>365</v>
      </c>
      <c r="G60" s="11" t="s">
        <v>15</v>
      </c>
      <c r="H60" s="11" t="s">
        <v>16</v>
      </c>
      <c r="I60" s="11" t="s">
        <v>17</v>
      </c>
      <c r="J60" s="11" t="s">
        <v>366</v>
      </c>
      <c r="K60" s="11" t="s">
        <v>367</v>
      </c>
      <c r="L60" s="11" t="s">
        <v>20</v>
      </c>
      <c r="M60" s="11" t="s">
        <v>368</v>
      </c>
      <c r="N60" s="11" t="s">
        <v>22</v>
      </c>
      <c r="O60" s="11" t="s">
        <v>23</v>
      </c>
      <c r="P60" s="11" t="s">
        <v>20</v>
      </c>
      <c r="Q60" s="11" t="s">
        <v>20</v>
      </c>
      <c r="R60" s="11" t="s">
        <v>24</v>
      </c>
      <c r="S60" s="11" t="s">
        <v>20</v>
      </c>
      <c r="T60" s="11" t="s">
        <v>20</v>
      </c>
      <c r="U60" s="11" t="s">
        <v>20</v>
      </c>
      <c r="V60" s="11" t="s">
        <v>369</v>
      </c>
      <c r="W60" s="11"/>
      <c r="X60" s="11"/>
      <c r="Y60" s="11"/>
      <c r="Z60" s="11"/>
      <c r="AA60" s="11"/>
    </row>
    <row r="61">
      <c r="A61" s="4" t="s">
        <v>370</v>
      </c>
      <c r="B61" s="4">
        <v>0.0</v>
      </c>
      <c r="C61" s="5"/>
      <c r="D61" s="5"/>
      <c r="E61" s="5"/>
      <c r="F61" s="5"/>
      <c r="G61" s="5"/>
      <c r="H61" s="5"/>
      <c r="I61" s="5"/>
      <c r="J61" s="5"/>
      <c r="K61" s="5"/>
      <c r="L61" s="5"/>
      <c r="M61" s="5"/>
      <c r="N61" s="5"/>
      <c r="O61" s="5"/>
      <c r="P61" s="5"/>
      <c r="Q61" s="5"/>
      <c r="R61" s="5"/>
      <c r="S61" s="5"/>
      <c r="T61" s="5"/>
      <c r="U61" s="5"/>
      <c r="V61" s="5"/>
      <c r="W61" s="5"/>
      <c r="X61" s="5"/>
      <c r="Y61" s="5"/>
      <c r="Z61" s="5"/>
      <c r="AA61" s="5"/>
    </row>
    <row r="62">
      <c r="A62" s="4" t="s">
        <v>371</v>
      </c>
      <c r="B62" s="4">
        <v>0.0</v>
      </c>
      <c r="C62" s="5"/>
      <c r="D62" s="5"/>
      <c r="E62" s="5"/>
      <c r="F62" s="5"/>
      <c r="G62" s="5"/>
      <c r="H62" s="5"/>
      <c r="I62" s="5"/>
      <c r="J62" s="5"/>
      <c r="K62" s="5"/>
      <c r="L62" s="5"/>
      <c r="M62" s="5"/>
      <c r="N62" s="5"/>
      <c r="O62" s="5"/>
      <c r="P62" s="5"/>
      <c r="Q62" s="5"/>
      <c r="R62" s="5"/>
      <c r="S62" s="5"/>
      <c r="T62" s="5"/>
      <c r="U62" s="5"/>
      <c r="V62" s="5"/>
      <c r="W62" s="5"/>
      <c r="X62" s="5"/>
      <c r="Y62" s="5"/>
      <c r="Z62" s="5"/>
      <c r="AA62" s="5"/>
    </row>
    <row r="63">
      <c r="A63" s="4" t="s">
        <v>372</v>
      </c>
      <c r="B63" s="4">
        <v>0.0</v>
      </c>
      <c r="C63" s="5"/>
      <c r="D63" s="5"/>
      <c r="E63" s="5"/>
      <c r="F63" s="5"/>
      <c r="G63" s="5"/>
      <c r="H63" s="5"/>
      <c r="I63" s="5"/>
      <c r="J63" s="5"/>
      <c r="K63" s="5"/>
      <c r="L63" s="5"/>
      <c r="M63" s="5"/>
      <c r="N63" s="5"/>
      <c r="O63" s="5"/>
      <c r="P63" s="5"/>
      <c r="Q63" s="5"/>
      <c r="R63" s="5"/>
      <c r="S63" s="5"/>
      <c r="T63" s="5"/>
      <c r="U63" s="5"/>
      <c r="V63" s="5"/>
      <c r="W63" s="5"/>
      <c r="X63" s="5"/>
      <c r="Y63" s="5"/>
      <c r="Z63" s="5"/>
      <c r="AA63" s="5"/>
    </row>
    <row r="64">
      <c r="A64" s="4" t="s">
        <v>373</v>
      </c>
      <c r="B64" s="10" t="s">
        <v>374</v>
      </c>
      <c r="C64" s="11" t="s">
        <v>375</v>
      </c>
      <c r="D64" s="11" t="s">
        <v>376</v>
      </c>
      <c r="E64" s="14">
        <v>46201.0</v>
      </c>
      <c r="F64" s="11" t="s">
        <v>377</v>
      </c>
      <c r="G64" s="11" t="s">
        <v>15</v>
      </c>
      <c r="H64" s="11" t="s">
        <v>16</v>
      </c>
      <c r="I64" s="11" t="s">
        <v>378</v>
      </c>
      <c r="J64" s="11" t="s">
        <v>379</v>
      </c>
      <c r="K64" s="11" t="s">
        <v>380</v>
      </c>
      <c r="L64" s="11" t="s">
        <v>20</v>
      </c>
      <c r="M64" s="11" t="s">
        <v>381</v>
      </c>
      <c r="N64" s="11" t="s">
        <v>22</v>
      </c>
      <c r="O64" s="11" t="s">
        <v>23</v>
      </c>
      <c r="P64" s="11" t="s">
        <v>20</v>
      </c>
      <c r="Q64" s="11" t="s">
        <v>20</v>
      </c>
      <c r="R64" s="11" t="s">
        <v>24</v>
      </c>
      <c r="S64" s="11" t="s">
        <v>20</v>
      </c>
      <c r="T64" s="11" t="s">
        <v>20</v>
      </c>
      <c r="U64" s="11" t="s">
        <v>20</v>
      </c>
      <c r="V64" s="11" t="s">
        <v>382</v>
      </c>
      <c r="W64" s="11"/>
      <c r="X64" s="11"/>
      <c r="Y64" s="11"/>
      <c r="Z64" s="11"/>
      <c r="AA64" s="11"/>
    </row>
    <row r="65">
      <c r="A65" s="4" t="s">
        <v>383</v>
      </c>
      <c r="B65" s="10" t="s">
        <v>384</v>
      </c>
      <c r="C65" s="11" t="s">
        <v>385</v>
      </c>
      <c r="D65" s="11" t="s">
        <v>386</v>
      </c>
      <c r="E65" s="11" t="s">
        <v>66</v>
      </c>
      <c r="F65" s="11" t="s">
        <v>387</v>
      </c>
      <c r="G65" s="11" t="s">
        <v>15</v>
      </c>
      <c r="H65" s="11" t="s">
        <v>16</v>
      </c>
      <c r="I65" s="11" t="s">
        <v>388</v>
      </c>
      <c r="J65" s="11" t="s">
        <v>389</v>
      </c>
      <c r="K65" s="11" t="s">
        <v>348</v>
      </c>
      <c r="L65" s="11" t="s">
        <v>20</v>
      </c>
      <c r="M65" s="11" t="s">
        <v>390</v>
      </c>
      <c r="N65" s="11" t="s">
        <v>22</v>
      </c>
      <c r="O65" s="11" t="s">
        <v>71</v>
      </c>
      <c r="P65" s="11" t="s">
        <v>20</v>
      </c>
      <c r="Q65" s="11" t="s">
        <v>20</v>
      </c>
      <c r="R65" s="11" t="s">
        <v>72</v>
      </c>
      <c r="S65" s="11" t="s">
        <v>20</v>
      </c>
      <c r="T65" s="11" t="s">
        <v>20</v>
      </c>
      <c r="U65" s="11" t="s">
        <v>20</v>
      </c>
      <c r="V65" s="11" t="s">
        <v>391</v>
      </c>
      <c r="W65" s="11"/>
      <c r="X65" s="11"/>
      <c r="Y65" s="11"/>
      <c r="Z65" s="11"/>
      <c r="AA65" s="11"/>
    </row>
    <row r="66">
      <c r="A66" s="4" t="s">
        <v>392</v>
      </c>
      <c r="B66" s="4">
        <v>0.0</v>
      </c>
      <c r="C66" s="5"/>
      <c r="D66" s="5"/>
      <c r="E66" s="5"/>
      <c r="F66" s="5"/>
      <c r="G66" s="5"/>
      <c r="H66" s="5"/>
      <c r="I66" s="5"/>
      <c r="J66" s="5"/>
      <c r="K66" s="5"/>
      <c r="L66" s="5"/>
      <c r="M66" s="5"/>
      <c r="N66" s="5"/>
      <c r="O66" s="5"/>
      <c r="P66" s="5"/>
      <c r="Q66" s="5"/>
      <c r="R66" s="5"/>
      <c r="S66" s="5"/>
      <c r="T66" s="5"/>
      <c r="U66" s="5"/>
      <c r="V66" s="5"/>
      <c r="W66" s="5"/>
      <c r="X66" s="5"/>
      <c r="Y66" s="5"/>
      <c r="Z66" s="5"/>
      <c r="AA66" s="5"/>
    </row>
    <row r="67">
      <c r="A67" s="4" t="s">
        <v>393</v>
      </c>
      <c r="B67" s="10" t="s">
        <v>394</v>
      </c>
      <c r="C67" s="11" t="s">
        <v>395</v>
      </c>
      <c r="D67" s="11" t="s">
        <v>396</v>
      </c>
      <c r="E67" s="11" t="s">
        <v>397</v>
      </c>
      <c r="F67" s="11" t="s">
        <v>398</v>
      </c>
      <c r="G67" s="11" t="s">
        <v>15</v>
      </c>
      <c r="H67" s="11" t="s">
        <v>16</v>
      </c>
      <c r="I67" s="11" t="s">
        <v>399</v>
      </c>
      <c r="J67" s="11" t="s">
        <v>400</v>
      </c>
      <c r="K67" s="11" t="s">
        <v>348</v>
      </c>
      <c r="L67" s="11" t="s">
        <v>20</v>
      </c>
      <c r="M67" s="11" t="s">
        <v>401</v>
      </c>
      <c r="N67" s="11" t="s">
        <v>22</v>
      </c>
      <c r="O67" s="11" t="s">
        <v>71</v>
      </c>
      <c r="P67" s="11" t="s">
        <v>20</v>
      </c>
      <c r="Q67" s="11" t="s">
        <v>20</v>
      </c>
      <c r="R67" s="11" t="s">
        <v>24</v>
      </c>
      <c r="S67" s="11" t="s">
        <v>20</v>
      </c>
      <c r="T67" s="11" t="s">
        <v>20</v>
      </c>
      <c r="U67" s="11" t="s">
        <v>20</v>
      </c>
      <c r="V67" s="11" t="s">
        <v>402</v>
      </c>
      <c r="W67" s="11"/>
      <c r="X67" s="11"/>
      <c r="Y67" s="11"/>
      <c r="Z67" s="11"/>
      <c r="AA67" s="11"/>
    </row>
    <row r="68">
      <c r="A68" s="4" t="s">
        <v>403</v>
      </c>
      <c r="B68" s="4">
        <v>0.0</v>
      </c>
      <c r="C68" s="5"/>
      <c r="D68" s="5"/>
      <c r="E68" s="5"/>
      <c r="F68" s="5"/>
      <c r="G68" s="5"/>
      <c r="H68" s="5"/>
      <c r="I68" s="5"/>
      <c r="J68" s="5"/>
      <c r="K68" s="5"/>
      <c r="L68" s="5"/>
      <c r="M68" s="5"/>
      <c r="N68" s="5"/>
      <c r="O68" s="5"/>
      <c r="P68" s="5"/>
      <c r="Q68" s="5"/>
      <c r="R68" s="5"/>
      <c r="S68" s="5"/>
      <c r="T68" s="5"/>
      <c r="U68" s="5"/>
      <c r="V68" s="5"/>
      <c r="W68" s="5"/>
      <c r="X68" s="5"/>
      <c r="Y68" s="5"/>
      <c r="Z68" s="5"/>
      <c r="AA68" s="5"/>
    </row>
    <row r="69">
      <c r="A69" s="4" t="s">
        <v>404</v>
      </c>
      <c r="B69" s="4">
        <v>0.0</v>
      </c>
      <c r="C69" s="5"/>
      <c r="D69" s="5"/>
      <c r="E69" s="5"/>
      <c r="F69" s="5"/>
      <c r="G69" s="5"/>
      <c r="H69" s="5"/>
      <c r="I69" s="5"/>
      <c r="J69" s="5"/>
      <c r="K69" s="5"/>
      <c r="L69" s="5"/>
      <c r="M69" s="5"/>
      <c r="N69" s="5"/>
      <c r="O69" s="5"/>
      <c r="P69" s="5"/>
      <c r="Q69" s="5"/>
      <c r="R69" s="5"/>
      <c r="S69" s="5"/>
      <c r="T69" s="5"/>
      <c r="U69" s="5"/>
      <c r="V69" s="5"/>
      <c r="W69" s="5"/>
      <c r="X69" s="5"/>
      <c r="Y69" s="5"/>
      <c r="Z69" s="5"/>
      <c r="AA69" s="5"/>
    </row>
    <row r="70">
      <c r="A70" s="4" t="s">
        <v>405</v>
      </c>
      <c r="B70" s="10" t="s">
        <v>406</v>
      </c>
      <c r="C70" s="11" t="s">
        <v>407</v>
      </c>
      <c r="D70" s="11" t="s">
        <v>408</v>
      </c>
      <c r="E70" s="11" t="s">
        <v>409</v>
      </c>
      <c r="F70" s="11" t="s">
        <v>410</v>
      </c>
      <c r="G70" s="11" t="s">
        <v>15</v>
      </c>
      <c r="H70" s="11" t="s">
        <v>16</v>
      </c>
      <c r="I70" s="11" t="s">
        <v>411</v>
      </c>
      <c r="J70" s="11" t="s">
        <v>412</v>
      </c>
      <c r="K70" s="11" t="s">
        <v>348</v>
      </c>
      <c r="L70" s="11" t="s">
        <v>20</v>
      </c>
      <c r="M70" s="11" t="s">
        <v>413</v>
      </c>
      <c r="N70" s="11" t="s">
        <v>20</v>
      </c>
      <c r="O70" s="11" t="s">
        <v>20</v>
      </c>
      <c r="P70" s="11" t="s">
        <v>20</v>
      </c>
      <c r="Q70" s="11" t="s">
        <v>20</v>
      </c>
      <c r="R70" s="11" t="s">
        <v>111</v>
      </c>
      <c r="S70" s="11" t="s">
        <v>20</v>
      </c>
      <c r="T70" s="11" t="s">
        <v>20</v>
      </c>
      <c r="U70" s="11" t="s">
        <v>20</v>
      </c>
      <c r="V70" s="11" t="s">
        <v>141</v>
      </c>
      <c r="W70" s="11"/>
      <c r="X70" s="11"/>
      <c r="Y70" s="11"/>
      <c r="Z70" s="11"/>
      <c r="AA70" s="11"/>
    </row>
    <row r="71">
      <c r="A71" s="4" t="s">
        <v>414</v>
      </c>
      <c r="B71" s="10" t="s">
        <v>415</v>
      </c>
      <c r="C71" s="11" t="s">
        <v>416</v>
      </c>
      <c r="D71" s="11" t="s">
        <v>417</v>
      </c>
      <c r="E71" s="11" t="s">
        <v>418</v>
      </c>
      <c r="F71" s="11" t="s">
        <v>419</v>
      </c>
      <c r="G71" s="11" t="s">
        <v>15</v>
      </c>
      <c r="H71" s="11" t="s">
        <v>180</v>
      </c>
      <c r="I71" s="11" t="s">
        <v>17</v>
      </c>
      <c r="J71" s="11" t="s">
        <v>420</v>
      </c>
      <c r="K71" s="11" t="s">
        <v>348</v>
      </c>
      <c r="L71" s="11" t="s">
        <v>20</v>
      </c>
      <c r="M71" s="11" t="s">
        <v>421</v>
      </c>
      <c r="N71" s="11" t="s">
        <v>20</v>
      </c>
      <c r="O71" s="11" t="s">
        <v>20</v>
      </c>
      <c r="P71" s="11" t="s">
        <v>20</v>
      </c>
      <c r="Q71" s="11" t="s">
        <v>20</v>
      </c>
      <c r="R71" s="11" t="s">
        <v>140</v>
      </c>
      <c r="S71" s="11" t="s">
        <v>20</v>
      </c>
      <c r="T71" s="11" t="s">
        <v>20</v>
      </c>
      <c r="U71" s="11" t="s">
        <v>20</v>
      </c>
      <c r="V71" s="11" t="s">
        <v>422</v>
      </c>
      <c r="W71" s="11"/>
      <c r="X71" s="11"/>
      <c r="Y71" s="11"/>
      <c r="Z71" s="11"/>
      <c r="AA71" s="11"/>
    </row>
    <row r="72">
      <c r="A72" s="4" t="s">
        <v>423</v>
      </c>
      <c r="B72" s="4">
        <v>0.0</v>
      </c>
      <c r="C72" s="5"/>
      <c r="D72" s="5"/>
      <c r="E72" s="5"/>
      <c r="F72" s="5"/>
      <c r="G72" s="5"/>
      <c r="H72" s="5"/>
      <c r="I72" s="5"/>
      <c r="J72" s="5"/>
      <c r="K72" s="5"/>
      <c r="L72" s="5"/>
      <c r="M72" s="5"/>
      <c r="N72" s="5"/>
      <c r="O72" s="5"/>
      <c r="P72" s="5"/>
      <c r="Q72" s="5"/>
      <c r="R72" s="5"/>
      <c r="S72" s="5"/>
      <c r="T72" s="5"/>
      <c r="U72" s="5"/>
      <c r="V72" s="5"/>
      <c r="W72" s="5"/>
      <c r="X72" s="5"/>
      <c r="Y72" s="5"/>
      <c r="Z72" s="5"/>
      <c r="AA72" s="5"/>
    </row>
    <row r="73">
      <c r="A73" s="4" t="s">
        <v>424</v>
      </c>
      <c r="B73" s="4">
        <v>0.0</v>
      </c>
      <c r="C73" s="5"/>
      <c r="D73" s="5"/>
      <c r="E73" s="5"/>
      <c r="F73" s="5"/>
      <c r="G73" s="5"/>
      <c r="H73" s="5"/>
      <c r="I73" s="5"/>
      <c r="J73" s="5"/>
      <c r="K73" s="5"/>
      <c r="L73" s="5"/>
      <c r="M73" s="5"/>
      <c r="N73" s="5"/>
      <c r="O73" s="5"/>
      <c r="P73" s="5"/>
      <c r="Q73" s="5"/>
      <c r="R73" s="5"/>
      <c r="S73" s="5"/>
      <c r="T73" s="5"/>
      <c r="U73" s="5"/>
      <c r="V73" s="5"/>
      <c r="W73" s="5"/>
      <c r="X73" s="5"/>
      <c r="Y73" s="5"/>
      <c r="Z73" s="5"/>
      <c r="AA73" s="5"/>
    </row>
    <row r="74">
      <c r="A74" s="4" t="s">
        <v>425</v>
      </c>
      <c r="B74" s="4">
        <v>0.0</v>
      </c>
      <c r="C74" s="5"/>
      <c r="D74" s="5"/>
      <c r="E74" s="5"/>
      <c r="F74" s="5"/>
      <c r="G74" s="5"/>
      <c r="H74" s="5"/>
      <c r="I74" s="5"/>
      <c r="J74" s="5"/>
      <c r="K74" s="5"/>
      <c r="L74" s="5"/>
      <c r="M74" s="5"/>
      <c r="N74" s="5"/>
      <c r="O74" s="5"/>
      <c r="P74" s="5"/>
      <c r="Q74" s="5"/>
      <c r="R74" s="5"/>
      <c r="S74" s="5"/>
      <c r="T74" s="5"/>
      <c r="U74" s="5"/>
      <c r="V74" s="5"/>
      <c r="W74" s="5"/>
      <c r="X74" s="5"/>
      <c r="Y74" s="5"/>
      <c r="Z74" s="5"/>
      <c r="AA74" s="5"/>
    </row>
    <row r="75">
      <c r="A75" s="4" t="s">
        <v>426</v>
      </c>
      <c r="B75" s="4">
        <v>0.0</v>
      </c>
      <c r="C75" s="5"/>
      <c r="D75" s="5"/>
      <c r="E75" s="5"/>
      <c r="F75" s="5"/>
      <c r="G75" s="5"/>
      <c r="H75" s="5"/>
      <c r="I75" s="5"/>
      <c r="J75" s="5"/>
      <c r="K75" s="5"/>
      <c r="L75" s="5"/>
      <c r="M75" s="5"/>
      <c r="N75" s="5"/>
      <c r="O75" s="5"/>
      <c r="P75" s="5"/>
      <c r="Q75" s="5"/>
      <c r="R75" s="5"/>
      <c r="S75" s="5"/>
      <c r="T75" s="5"/>
      <c r="U75" s="5"/>
      <c r="V75" s="5"/>
      <c r="W75" s="5"/>
      <c r="X75" s="5"/>
      <c r="Y75" s="5"/>
      <c r="Z75" s="5"/>
      <c r="AA75" s="5"/>
    </row>
    <row r="76">
      <c r="A76" s="4" t="s">
        <v>427</v>
      </c>
      <c r="B76" s="10" t="s">
        <v>428</v>
      </c>
      <c r="C76" s="11" t="s">
        <v>429</v>
      </c>
      <c r="D76" s="11" t="s">
        <v>430</v>
      </c>
      <c r="E76" s="11" t="s">
        <v>431</v>
      </c>
      <c r="F76" s="11" t="s">
        <v>432</v>
      </c>
      <c r="G76" s="11" t="s">
        <v>15</v>
      </c>
      <c r="H76" s="11" t="s">
        <v>16</v>
      </c>
      <c r="I76" s="11" t="s">
        <v>193</v>
      </c>
      <c r="J76" s="11" t="s">
        <v>433</v>
      </c>
      <c r="K76" s="11" t="s">
        <v>348</v>
      </c>
      <c r="L76" s="11" t="s">
        <v>20</v>
      </c>
      <c r="M76" s="11" t="s">
        <v>434</v>
      </c>
      <c r="N76" s="11" t="s">
        <v>20</v>
      </c>
      <c r="O76" s="11" t="s">
        <v>20</v>
      </c>
      <c r="P76" s="11" t="s">
        <v>20</v>
      </c>
      <c r="Q76" s="11" t="s">
        <v>20</v>
      </c>
      <c r="R76" s="11" t="s">
        <v>140</v>
      </c>
      <c r="S76" s="11" t="s">
        <v>20</v>
      </c>
      <c r="T76" s="11" t="s">
        <v>20</v>
      </c>
      <c r="U76" s="11" t="s">
        <v>20</v>
      </c>
      <c r="V76" s="11" t="s">
        <v>435</v>
      </c>
      <c r="W76" s="11"/>
      <c r="X76" s="11"/>
      <c r="Y76" s="11"/>
      <c r="Z76" s="11"/>
      <c r="AA76" s="11"/>
    </row>
    <row r="77">
      <c r="A77" s="4" t="s">
        <v>436</v>
      </c>
      <c r="B77" s="10" t="s">
        <v>437</v>
      </c>
      <c r="C77" s="11" t="s">
        <v>438</v>
      </c>
      <c r="D77" s="11" t="s">
        <v>439</v>
      </c>
      <c r="E77" s="14">
        <v>46167.0</v>
      </c>
      <c r="F77" s="11" t="s">
        <v>440</v>
      </c>
      <c r="G77" s="11" t="s">
        <v>15</v>
      </c>
      <c r="H77" s="11" t="s">
        <v>16</v>
      </c>
      <c r="I77" s="11" t="s">
        <v>441</v>
      </c>
      <c r="J77" s="11" t="s">
        <v>442</v>
      </c>
      <c r="K77" s="11" t="s">
        <v>443</v>
      </c>
      <c r="L77" s="11" t="s">
        <v>20</v>
      </c>
      <c r="M77" s="11" t="s">
        <v>444</v>
      </c>
      <c r="N77" s="11" t="s">
        <v>20</v>
      </c>
      <c r="O77" s="11" t="s">
        <v>20</v>
      </c>
      <c r="P77" s="11" t="s">
        <v>20</v>
      </c>
      <c r="Q77" s="11" t="s">
        <v>20</v>
      </c>
      <c r="R77" s="11" t="s">
        <v>445</v>
      </c>
      <c r="S77" s="11" t="s">
        <v>20</v>
      </c>
      <c r="T77" s="11" t="s">
        <v>20</v>
      </c>
      <c r="U77" s="11" t="s">
        <v>20</v>
      </c>
      <c r="V77" s="11" t="s">
        <v>20</v>
      </c>
      <c r="W77" s="11"/>
      <c r="X77" s="11"/>
      <c r="Y77" s="11"/>
      <c r="Z77" s="11"/>
      <c r="AA77" s="11"/>
    </row>
    <row r="78">
      <c r="A78" s="4" t="s">
        <v>446</v>
      </c>
      <c r="B78" s="4">
        <v>0.0</v>
      </c>
      <c r="C78" s="5"/>
      <c r="D78" s="5"/>
      <c r="E78" s="5"/>
      <c r="F78" s="5"/>
      <c r="G78" s="5"/>
      <c r="H78" s="5"/>
      <c r="I78" s="5"/>
      <c r="J78" s="5"/>
      <c r="K78" s="5"/>
      <c r="L78" s="5"/>
      <c r="M78" s="5"/>
      <c r="N78" s="5"/>
      <c r="O78" s="5"/>
      <c r="P78" s="5"/>
      <c r="Q78" s="5"/>
      <c r="R78" s="5"/>
      <c r="S78" s="5"/>
      <c r="T78" s="5"/>
      <c r="U78" s="5"/>
      <c r="V78" s="5"/>
      <c r="W78" s="5"/>
      <c r="X78" s="5"/>
      <c r="Y78" s="5"/>
      <c r="Z78" s="5"/>
      <c r="AA78" s="5"/>
    </row>
    <row r="79">
      <c r="A79" s="4" t="s">
        <v>447</v>
      </c>
      <c r="B79" s="10" t="s">
        <v>448</v>
      </c>
      <c r="C79" s="11" t="s">
        <v>449</v>
      </c>
      <c r="D79" s="11" t="s">
        <v>450</v>
      </c>
      <c r="E79" s="11" t="s">
        <v>451</v>
      </c>
      <c r="F79" s="11" t="s">
        <v>452</v>
      </c>
      <c r="G79" s="11" t="s">
        <v>15</v>
      </c>
      <c r="H79" s="11" t="s">
        <v>16</v>
      </c>
      <c r="I79" s="11" t="s">
        <v>453</v>
      </c>
      <c r="J79" s="11" t="s">
        <v>454</v>
      </c>
      <c r="K79" s="11" t="s">
        <v>455</v>
      </c>
      <c r="L79" s="11" t="s">
        <v>20</v>
      </c>
      <c r="M79" s="11" t="s">
        <v>456</v>
      </c>
      <c r="N79" s="11" t="s">
        <v>20</v>
      </c>
      <c r="O79" s="11" t="s">
        <v>20</v>
      </c>
      <c r="P79" s="11" t="s">
        <v>20</v>
      </c>
      <c r="Q79" s="11" t="s">
        <v>20</v>
      </c>
      <c r="R79" s="11" t="s">
        <v>140</v>
      </c>
      <c r="S79" s="11" t="s">
        <v>20</v>
      </c>
      <c r="T79" s="11" t="s">
        <v>20</v>
      </c>
      <c r="U79" s="11" t="s">
        <v>20</v>
      </c>
      <c r="V79" s="11" t="s">
        <v>457</v>
      </c>
      <c r="W79" s="11"/>
      <c r="X79" s="11"/>
      <c r="Y79" s="11"/>
      <c r="Z79" s="11"/>
      <c r="AA79" s="11"/>
    </row>
    <row r="80">
      <c r="A80" s="4" t="s">
        <v>458</v>
      </c>
      <c r="B80" s="10" t="s">
        <v>459</v>
      </c>
      <c r="C80" s="11" t="s">
        <v>460</v>
      </c>
      <c r="D80" s="11" t="s">
        <v>461</v>
      </c>
      <c r="E80" s="11" t="s">
        <v>462</v>
      </c>
      <c r="F80" s="11" t="s">
        <v>463</v>
      </c>
      <c r="G80" s="11" t="s">
        <v>15</v>
      </c>
      <c r="H80" s="11" t="s">
        <v>16</v>
      </c>
      <c r="I80" s="11" t="s">
        <v>17</v>
      </c>
      <c r="J80" s="11" t="s">
        <v>464</v>
      </c>
      <c r="K80" s="11" t="s">
        <v>348</v>
      </c>
      <c r="L80" s="11" t="s">
        <v>20</v>
      </c>
      <c r="M80" s="11" t="s">
        <v>465</v>
      </c>
      <c r="N80" s="11" t="s">
        <v>20</v>
      </c>
      <c r="O80" s="11" t="s">
        <v>20</v>
      </c>
      <c r="P80" s="11" t="s">
        <v>20</v>
      </c>
      <c r="Q80" s="11" t="s">
        <v>20</v>
      </c>
      <c r="R80" s="11" t="s">
        <v>140</v>
      </c>
      <c r="S80" s="11" t="s">
        <v>20</v>
      </c>
      <c r="T80" s="11" t="s">
        <v>20</v>
      </c>
      <c r="U80" s="11" t="s">
        <v>20</v>
      </c>
      <c r="V80" s="11" t="s">
        <v>466</v>
      </c>
      <c r="W80" s="11"/>
      <c r="X80" s="11"/>
      <c r="Y80" s="11"/>
      <c r="Z80" s="11"/>
      <c r="AA80" s="11"/>
    </row>
    <row r="81">
      <c r="A81" s="4" t="s">
        <v>467</v>
      </c>
      <c r="B81" s="4">
        <v>0.0</v>
      </c>
      <c r="C81" s="5"/>
      <c r="D81" s="5"/>
      <c r="E81" s="5"/>
      <c r="F81" s="5"/>
      <c r="G81" s="5"/>
      <c r="H81" s="5"/>
      <c r="I81" s="5"/>
      <c r="J81" s="5"/>
      <c r="K81" s="5"/>
      <c r="L81" s="5"/>
      <c r="M81" s="5"/>
      <c r="N81" s="5"/>
      <c r="O81" s="5"/>
      <c r="P81" s="5"/>
      <c r="Q81" s="5"/>
      <c r="R81" s="5"/>
      <c r="S81" s="5"/>
      <c r="T81" s="5"/>
      <c r="U81" s="5"/>
      <c r="V81" s="5"/>
      <c r="W81" s="5"/>
      <c r="X81" s="5"/>
      <c r="Y81" s="5"/>
      <c r="Z81" s="5"/>
      <c r="AA81" s="5"/>
    </row>
    <row r="82">
      <c r="A82" s="4" t="s">
        <v>468</v>
      </c>
      <c r="B82" s="4">
        <v>0.0</v>
      </c>
      <c r="C82" s="5"/>
      <c r="D82" s="5"/>
      <c r="E82" s="5"/>
      <c r="F82" s="5"/>
      <c r="G82" s="5"/>
      <c r="H82" s="5"/>
      <c r="I82" s="5"/>
      <c r="J82" s="5"/>
      <c r="K82" s="5"/>
      <c r="L82" s="5"/>
      <c r="M82" s="5"/>
      <c r="N82" s="5"/>
      <c r="O82" s="5"/>
      <c r="P82" s="5"/>
      <c r="Q82" s="5"/>
      <c r="R82" s="5"/>
      <c r="S82" s="5"/>
      <c r="T82" s="5"/>
      <c r="U82" s="5"/>
      <c r="V82" s="5"/>
      <c r="W82" s="5"/>
      <c r="X82" s="5"/>
      <c r="Y82" s="5"/>
      <c r="Z82" s="5"/>
      <c r="AA82" s="5"/>
    </row>
    <row r="83">
      <c r="A83" s="4" t="s">
        <v>469</v>
      </c>
      <c r="B83" s="10" t="s">
        <v>470</v>
      </c>
      <c r="C83" s="11" t="s">
        <v>471</v>
      </c>
      <c r="D83" s="11" t="s">
        <v>472</v>
      </c>
      <c r="E83" s="11" t="s">
        <v>117</v>
      </c>
      <c r="F83" s="11" t="s">
        <v>473</v>
      </c>
      <c r="G83" s="11" t="s">
        <v>15</v>
      </c>
      <c r="H83" s="11" t="s">
        <v>16</v>
      </c>
      <c r="I83" s="11" t="s">
        <v>474</v>
      </c>
      <c r="J83" s="11" t="s">
        <v>475</v>
      </c>
      <c r="K83" s="11" t="s">
        <v>476</v>
      </c>
      <c r="L83" s="11" t="s">
        <v>20</v>
      </c>
      <c r="M83" s="11" t="s">
        <v>477</v>
      </c>
      <c r="N83" s="11" t="s">
        <v>20</v>
      </c>
      <c r="O83" s="11" t="s">
        <v>20</v>
      </c>
      <c r="P83" s="11" t="s">
        <v>20</v>
      </c>
      <c r="Q83" s="11" t="s">
        <v>20</v>
      </c>
      <c r="R83" s="11" t="s">
        <v>140</v>
      </c>
      <c r="S83" s="11" t="s">
        <v>20</v>
      </c>
      <c r="T83" s="11" t="s">
        <v>20</v>
      </c>
      <c r="U83" s="11" t="s">
        <v>20</v>
      </c>
      <c r="V83" s="11" t="s">
        <v>478</v>
      </c>
      <c r="W83" s="11"/>
      <c r="X83" s="11"/>
      <c r="Y83" s="11"/>
      <c r="Z83" s="11"/>
      <c r="AA83" s="11"/>
    </row>
    <row r="84">
      <c r="A84" s="4" t="s">
        <v>479</v>
      </c>
      <c r="B84" s="4">
        <v>0.0</v>
      </c>
      <c r="C84" s="5"/>
      <c r="D84" s="5"/>
      <c r="E84" s="5"/>
      <c r="F84" s="5"/>
      <c r="G84" s="5"/>
      <c r="H84" s="5"/>
      <c r="I84" s="5"/>
      <c r="J84" s="5"/>
      <c r="K84" s="5"/>
      <c r="L84" s="5"/>
      <c r="M84" s="5"/>
      <c r="N84" s="5"/>
      <c r="O84" s="5"/>
      <c r="P84" s="5"/>
      <c r="Q84" s="5"/>
      <c r="R84" s="5"/>
      <c r="S84" s="5"/>
      <c r="T84" s="5"/>
      <c r="U84" s="5"/>
      <c r="V84" s="5"/>
      <c r="W84" s="5"/>
      <c r="X84" s="5"/>
      <c r="Y84" s="5"/>
      <c r="Z84" s="5"/>
      <c r="AA84" s="5"/>
    </row>
    <row r="85">
      <c r="A85" s="4" t="s">
        <v>480</v>
      </c>
      <c r="B85" s="10" t="s">
        <v>481</v>
      </c>
      <c r="C85" s="11" t="s">
        <v>482</v>
      </c>
      <c r="D85" s="11" t="s">
        <v>483</v>
      </c>
      <c r="E85" s="11" t="s">
        <v>484</v>
      </c>
      <c r="F85" s="11" t="s">
        <v>485</v>
      </c>
      <c r="G85" s="11" t="s">
        <v>15</v>
      </c>
      <c r="H85" s="11" t="s">
        <v>180</v>
      </c>
      <c r="I85" s="11" t="s">
        <v>17</v>
      </c>
      <c r="J85" s="11" t="s">
        <v>486</v>
      </c>
      <c r="K85" s="11" t="s">
        <v>20</v>
      </c>
      <c r="L85" s="11" t="s">
        <v>20</v>
      </c>
      <c r="M85" s="11" t="s">
        <v>487</v>
      </c>
      <c r="N85" s="11" t="s">
        <v>20</v>
      </c>
      <c r="O85" s="11" t="s">
        <v>20</v>
      </c>
      <c r="P85" s="11" t="s">
        <v>20</v>
      </c>
      <c r="Q85" s="11" t="s">
        <v>20</v>
      </c>
      <c r="R85" s="11" t="s">
        <v>140</v>
      </c>
      <c r="S85" s="11" t="s">
        <v>20</v>
      </c>
      <c r="T85" s="11" t="s">
        <v>20</v>
      </c>
      <c r="U85" s="11" t="s">
        <v>20</v>
      </c>
      <c r="V85" s="11" t="s">
        <v>20</v>
      </c>
      <c r="W85" s="11"/>
      <c r="X85" s="11"/>
      <c r="Y85" s="11"/>
      <c r="Z85" s="11"/>
      <c r="AA85" s="11"/>
    </row>
    <row r="86">
      <c r="A86" s="4" t="s">
        <v>488</v>
      </c>
      <c r="B86" s="4">
        <v>0.0</v>
      </c>
      <c r="C86" s="5"/>
      <c r="D86" s="5"/>
      <c r="E86" s="5"/>
      <c r="F86" s="5"/>
      <c r="G86" s="5"/>
      <c r="H86" s="5"/>
      <c r="I86" s="5"/>
      <c r="J86" s="5"/>
      <c r="K86" s="5"/>
      <c r="L86" s="5"/>
      <c r="M86" s="5"/>
      <c r="N86" s="5"/>
      <c r="O86" s="5"/>
      <c r="P86" s="5"/>
      <c r="Q86" s="5"/>
      <c r="R86" s="5"/>
      <c r="S86" s="5"/>
      <c r="T86" s="5"/>
      <c r="U86" s="5"/>
      <c r="V86" s="5"/>
      <c r="W86" s="5"/>
      <c r="X86" s="5"/>
      <c r="Y86" s="5"/>
      <c r="Z86" s="5"/>
      <c r="AA86" s="5"/>
    </row>
    <row r="87">
      <c r="A87" s="4" t="s">
        <v>489</v>
      </c>
      <c r="B87" s="10" t="s">
        <v>490</v>
      </c>
      <c r="C87" s="11" t="s">
        <v>491</v>
      </c>
      <c r="D87" s="11" t="s">
        <v>492</v>
      </c>
      <c r="E87" s="11" t="s">
        <v>493</v>
      </c>
      <c r="F87" s="11" t="s">
        <v>494</v>
      </c>
      <c r="G87" s="11" t="s">
        <v>15</v>
      </c>
      <c r="H87" s="11" t="s">
        <v>16</v>
      </c>
      <c r="I87" s="11" t="s">
        <v>495</v>
      </c>
      <c r="J87" s="11" t="s">
        <v>496</v>
      </c>
      <c r="K87" s="11" t="s">
        <v>348</v>
      </c>
      <c r="L87" s="11" t="s">
        <v>20</v>
      </c>
      <c r="M87" s="11" t="s">
        <v>497</v>
      </c>
      <c r="N87" s="11" t="s">
        <v>20</v>
      </c>
      <c r="O87" s="11" t="s">
        <v>20</v>
      </c>
      <c r="P87" s="11" t="s">
        <v>20</v>
      </c>
      <c r="Q87" s="11" t="s">
        <v>20</v>
      </c>
      <c r="R87" s="11" t="s">
        <v>140</v>
      </c>
      <c r="S87" s="11" t="s">
        <v>20</v>
      </c>
      <c r="T87" s="11" t="s">
        <v>20</v>
      </c>
      <c r="U87" s="11" t="s">
        <v>20</v>
      </c>
      <c r="V87" s="11" t="s">
        <v>498</v>
      </c>
      <c r="W87" s="11"/>
      <c r="X87" s="11"/>
      <c r="Y87" s="11"/>
      <c r="Z87" s="11"/>
      <c r="AA87" s="11"/>
    </row>
    <row r="88">
      <c r="A88" s="4" t="s">
        <v>499</v>
      </c>
      <c r="B88" s="10" t="s">
        <v>500</v>
      </c>
      <c r="C88" s="11" t="s">
        <v>501</v>
      </c>
      <c r="D88" s="11" t="s">
        <v>502</v>
      </c>
      <c r="E88" s="11" t="s">
        <v>503</v>
      </c>
      <c r="F88" s="11" t="s">
        <v>504</v>
      </c>
      <c r="G88" s="11" t="s">
        <v>15</v>
      </c>
      <c r="H88" s="11" t="s">
        <v>16</v>
      </c>
      <c r="I88" s="11" t="s">
        <v>505</v>
      </c>
      <c r="J88" s="11" t="s">
        <v>506</v>
      </c>
      <c r="K88" s="11" t="s">
        <v>20</v>
      </c>
      <c r="L88" s="11" t="s">
        <v>20</v>
      </c>
      <c r="M88" s="11" t="s">
        <v>507</v>
      </c>
      <c r="N88" s="11" t="s">
        <v>20</v>
      </c>
      <c r="O88" s="11" t="s">
        <v>20</v>
      </c>
      <c r="P88" s="11" t="s">
        <v>20</v>
      </c>
      <c r="Q88" s="11" t="s">
        <v>20</v>
      </c>
      <c r="R88" s="11" t="s">
        <v>140</v>
      </c>
      <c r="S88" s="11" t="s">
        <v>20</v>
      </c>
      <c r="T88" s="11" t="s">
        <v>20</v>
      </c>
      <c r="U88" s="11" t="s">
        <v>20</v>
      </c>
      <c r="V88" s="11" t="s">
        <v>508</v>
      </c>
      <c r="W88" s="11"/>
      <c r="X88" s="11"/>
      <c r="Y88" s="11"/>
      <c r="Z88" s="11"/>
      <c r="AA88" s="11"/>
    </row>
    <row r="89">
      <c r="A89" s="12" t="s">
        <v>84</v>
      </c>
      <c r="B89" s="8" t="s">
        <v>85</v>
      </c>
      <c r="C89" s="9" t="s">
        <v>86</v>
      </c>
      <c r="D89" s="9" t="s">
        <v>87</v>
      </c>
      <c r="E89" s="9" t="s">
        <v>88</v>
      </c>
      <c r="F89" s="9" t="s">
        <v>89</v>
      </c>
      <c r="G89" s="9" t="s">
        <v>15</v>
      </c>
      <c r="H89" s="9" t="s">
        <v>16</v>
      </c>
      <c r="I89" s="9" t="s">
        <v>17</v>
      </c>
      <c r="J89" s="9" t="s">
        <v>90</v>
      </c>
      <c r="K89" s="9" t="s">
        <v>91</v>
      </c>
      <c r="L89" s="9" t="s">
        <v>20</v>
      </c>
      <c r="M89" s="9" t="s">
        <v>92</v>
      </c>
      <c r="N89" s="9" t="s">
        <v>22</v>
      </c>
      <c r="O89" s="9" t="s">
        <v>71</v>
      </c>
      <c r="P89" s="9" t="s">
        <v>20</v>
      </c>
      <c r="Q89" s="9" t="s">
        <v>20</v>
      </c>
      <c r="R89" s="9" t="s">
        <v>24</v>
      </c>
      <c r="S89" s="9" t="s">
        <v>20</v>
      </c>
      <c r="T89" s="9" t="s">
        <v>20</v>
      </c>
      <c r="U89" s="9" t="s">
        <v>20</v>
      </c>
      <c r="V89" s="9" t="s">
        <v>93</v>
      </c>
      <c r="W89" s="9"/>
      <c r="X89" s="9"/>
      <c r="Y89" s="9"/>
      <c r="Z89" s="9"/>
      <c r="AA89" s="9"/>
    </row>
    <row r="90">
      <c r="B90" s="10" t="s">
        <v>94</v>
      </c>
      <c r="C90" s="11" t="s">
        <v>95</v>
      </c>
      <c r="D90" s="11" t="s">
        <v>96</v>
      </c>
      <c r="E90" s="11" t="s">
        <v>97</v>
      </c>
      <c r="F90" s="11" t="s">
        <v>98</v>
      </c>
      <c r="G90" s="11" t="s">
        <v>15</v>
      </c>
      <c r="H90" s="11" t="s">
        <v>16</v>
      </c>
      <c r="I90" s="11" t="s">
        <v>99</v>
      </c>
      <c r="J90" s="11" t="s">
        <v>100</v>
      </c>
      <c r="K90" s="11" t="s">
        <v>91</v>
      </c>
      <c r="L90" s="11" t="s">
        <v>20</v>
      </c>
      <c r="M90" s="11" t="s">
        <v>92</v>
      </c>
      <c r="N90" s="11" t="s">
        <v>22</v>
      </c>
      <c r="O90" s="11" t="s">
        <v>71</v>
      </c>
      <c r="P90" s="11" t="s">
        <v>20</v>
      </c>
      <c r="Q90" s="11" t="s">
        <v>20</v>
      </c>
      <c r="R90" s="11" t="s">
        <v>24</v>
      </c>
      <c r="S90" s="11" t="s">
        <v>20</v>
      </c>
      <c r="T90" s="11" t="s">
        <v>20</v>
      </c>
      <c r="U90" s="11" t="s">
        <v>20</v>
      </c>
      <c r="V90" s="11" t="s">
        <v>93</v>
      </c>
      <c r="W90" s="11"/>
      <c r="X90" s="11"/>
      <c r="Y90" s="11"/>
      <c r="Z90" s="11"/>
      <c r="AA90" s="11"/>
    </row>
    <row r="91">
      <c r="A91" s="4" t="s">
        <v>131</v>
      </c>
      <c r="B91" s="8" t="s">
        <v>132</v>
      </c>
      <c r="C91" s="9" t="s">
        <v>133</v>
      </c>
      <c r="D91" s="9" t="s">
        <v>134</v>
      </c>
      <c r="E91" s="13">
        <v>46200.0</v>
      </c>
      <c r="F91" s="9" t="s">
        <v>135</v>
      </c>
      <c r="G91" s="9" t="s">
        <v>15</v>
      </c>
      <c r="H91" s="9" t="s">
        <v>16</v>
      </c>
      <c r="I91" s="9" t="s">
        <v>136</v>
      </c>
      <c r="J91" s="9" t="s">
        <v>137</v>
      </c>
      <c r="K91" s="9" t="s">
        <v>138</v>
      </c>
      <c r="L91" s="9" t="s">
        <v>20</v>
      </c>
      <c r="M91" s="9" t="s">
        <v>139</v>
      </c>
      <c r="N91" s="9" t="s">
        <v>20</v>
      </c>
      <c r="O91" s="9" t="s">
        <v>20</v>
      </c>
      <c r="P91" s="9" t="s">
        <v>20</v>
      </c>
      <c r="Q91" s="9" t="s">
        <v>20</v>
      </c>
      <c r="R91" s="9" t="s">
        <v>140</v>
      </c>
      <c r="S91" s="9" t="s">
        <v>20</v>
      </c>
      <c r="T91" s="9" t="s">
        <v>20</v>
      </c>
      <c r="U91" s="9" t="s">
        <v>20</v>
      </c>
      <c r="V91" s="9" t="s">
        <v>141</v>
      </c>
      <c r="W91" s="9"/>
      <c r="X91" s="9"/>
      <c r="Y91" s="9"/>
      <c r="Z91" s="9"/>
      <c r="AA91" s="9"/>
    </row>
    <row r="92">
      <c r="A92" s="4" t="s">
        <v>509</v>
      </c>
      <c r="B92" s="4">
        <v>0.0</v>
      </c>
      <c r="C92" s="5"/>
      <c r="D92" s="5"/>
      <c r="E92" s="5"/>
      <c r="F92" s="5"/>
      <c r="G92" s="5"/>
      <c r="H92" s="5"/>
      <c r="I92" s="5"/>
      <c r="J92" s="5"/>
      <c r="K92" s="5"/>
      <c r="L92" s="5"/>
      <c r="M92" s="5"/>
      <c r="N92" s="5"/>
      <c r="O92" s="5"/>
      <c r="P92" s="5"/>
      <c r="Q92" s="5"/>
      <c r="R92" s="5"/>
      <c r="S92" s="5"/>
      <c r="T92" s="5"/>
      <c r="U92" s="5"/>
      <c r="V92" s="5"/>
      <c r="W92" s="5"/>
      <c r="X92" s="5"/>
      <c r="Y92" s="5"/>
      <c r="Z92" s="5"/>
      <c r="AA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sheetData>
  <mergeCells count="2">
    <mergeCell ref="A18:A19"/>
    <mergeCell ref="A89:A90"/>
  </mergeCells>
  <hyperlinks>
    <hyperlink r:id="rId1" ref="C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44.88"/>
    <col customWidth="1" min="3" max="3" width="25.75"/>
  </cols>
  <sheetData>
    <row r="1">
      <c r="A1" s="16" t="s">
        <v>510</v>
      </c>
      <c r="B1" s="17"/>
      <c r="C1" s="17"/>
      <c r="D1" s="18"/>
      <c r="E1" s="4" t="s">
        <v>4</v>
      </c>
    </row>
    <row r="2">
      <c r="A2" s="19"/>
      <c r="B2" s="19"/>
      <c r="C2" s="19"/>
      <c r="D2" s="20" t="s">
        <v>511</v>
      </c>
      <c r="E2" s="21"/>
      <c r="F2" s="22">
        <f>(74/123)</f>
        <v>0.6016260163</v>
      </c>
      <c r="G2" s="23"/>
      <c r="H2" s="23"/>
      <c r="I2" s="23"/>
      <c r="J2" s="23"/>
      <c r="K2" s="23"/>
      <c r="L2" s="23"/>
      <c r="M2" s="23"/>
      <c r="N2" s="23"/>
      <c r="O2" s="23"/>
      <c r="P2" s="23"/>
      <c r="Q2" s="23"/>
      <c r="R2" s="23"/>
      <c r="S2" s="23"/>
      <c r="T2" s="23"/>
      <c r="U2" s="23"/>
      <c r="V2" s="23"/>
      <c r="W2" s="23"/>
      <c r="X2" s="23"/>
    </row>
    <row r="3">
      <c r="A3" s="24" t="s">
        <v>512</v>
      </c>
      <c r="B3" s="25" t="s">
        <v>513</v>
      </c>
      <c r="C3" s="24" t="s">
        <v>514</v>
      </c>
      <c r="D3" s="9" t="s">
        <v>515</v>
      </c>
      <c r="E3" s="11" t="s">
        <v>516</v>
      </c>
      <c r="F3" s="11" t="s">
        <v>517</v>
      </c>
      <c r="G3" s="11" t="s">
        <v>518</v>
      </c>
      <c r="H3" s="11" t="s">
        <v>519</v>
      </c>
      <c r="I3" s="11" t="s">
        <v>520</v>
      </c>
      <c r="J3" s="11" t="s">
        <v>521</v>
      </c>
      <c r="K3" s="11" t="s">
        <v>522</v>
      </c>
      <c r="L3" s="11" t="s">
        <v>523</v>
      </c>
      <c r="M3" s="11" t="s">
        <v>524</v>
      </c>
      <c r="N3" s="11" t="s">
        <v>525</v>
      </c>
      <c r="O3" s="11" t="s">
        <v>526</v>
      </c>
      <c r="P3" s="11" t="s">
        <v>527</v>
      </c>
      <c r="Q3" s="11" t="s">
        <v>528</v>
      </c>
      <c r="R3" s="11" t="s">
        <v>529</v>
      </c>
      <c r="S3" s="11" t="s">
        <v>530</v>
      </c>
      <c r="T3" s="11" t="s">
        <v>531</v>
      </c>
      <c r="U3" s="11" t="s">
        <v>532</v>
      </c>
      <c r="V3" s="11" t="s">
        <v>533</v>
      </c>
      <c r="W3" s="11" t="s">
        <v>534</v>
      </c>
      <c r="X3" s="11" t="s">
        <v>535</v>
      </c>
    </row>
    <row r="4">
      <c r="A4" s="26" t="s">
        <v>536</v>
      </c>
      <c r="B4" s="26" t="s">
        <v>537</v>
      </c>
      <c r="C4" s="26" t="s">
        <v>538</v>
      </c>
      <c r="D4" s="4">
        <v>0.0</v>
      </c>
    </row>
    <row r="5">
      <c r="A5" s="26" t="s">
        <v>539</v>
      </c>
      <c r="B5" s="26" t="s">
        <v>540</v>
      </c>
      <c r="C5" s="26" t="s">
        <v>538</v>
      </c>
      <c r="D5" s="9" t="s">
        <v>541</v>
      </c>
      <c r="E5" s="11" t="s">
        <v>542</v>
      </c>
      <c r="F5" s="11" t="s">
        <v>543</v>
      </c>
      <c r="G5" s="11" t="s">
        <v>544</v>
      </c>
      <c r="H5" s="11" t="s">
        <v>545</v>
      </c>
      <c r="I5" s="11" t="s">
        <v>15</v>
      </c>
      <c r="J5" s="11" t="s">
        <v>546</v>
      </c>
      <c r="K5" s="11" t="s">
        <v>547</v>
      </c>
      <c r="L5" s="11" t="s">
        <v>539</v>
      </c>
      <c r="M5" s="11" t="s">
        <v>548</v>
      </c>
      <c r="N5" s="11" t="s">
        <v>20</v>
      </c>
      <c r="O5" s="11" t="s">
        <v>549</v>
      </c>
      <c r="P5" s="11" t="s">
        <v>20</v>
      </c>
      <c r="Q5" s="11" t="s">
        <v>20</v>
      </c>
      <c r="R5" s="11" t="s">
        <v>20</v>
      </c>
      <c r="S5" s="11" t="s">
        <v>20</v>
      </c>
      <c r="T5" s="11" t="s">
        <v>550</v>
      </c>
      <c r="U5" s="11" t="s">
        <v>20</v>
      </c>
      <c r="V5" s="11" t="s">
        <v>20</v>
      </c>
      <c r="W5" s="11" t="s">
        <v>20</v>
      </c>
      <c r="X5" s="11" t="s">
        <v>551</v>
      </c>
      <c r="Y5" s="11"/>
      <c r="Z5" s="11"/>
      <c r="AA5" s="11"/>
      <c r="AB5" s="11"/>
      <c r="AC5" s="11"/>
    </row>
    <row r="6">
      <c r="A6" s="26" t="s">
        <v>159</v>
      </c>
      <c r="B6" s="26" t="s">
        <v>552</v>
      </c>
      <c r="C6" s="26" t="s">
        <v>538</v>
      </c>
      <c r="D6" s="9" t="s">
        <v>154</v>
      </c>
      <c r="E6" s="11" t="s">
        <v>155</v>
      </c>
      <c r="F6" s="11" t="s">
        <v>156</v>
      </c>
      <c r="G6" s="14">
        <v>46259.0</v>
      </c>
      <c r="H6" s="11" t="s">
        <v>157</v>
      </c>
      <c r="I6" s="11" t="s">
        <v>15</v>
      </c>
      <c r="J6" s="11" t="s">
        <v>16</v>
      </c>
      <c r="K6" s="11" t="s">
        <v>158</v>
      </c>
      <c r="L6" s="11" t="s">
        <v>159</v>
      </c>
      <c r="M6" s="11" t="s">
        <v>19</v>
      </c>
      <c r="N6" s="11" t="s">
        <v>20</v>
      </c>
      <c r="O6" s="11" t="s">
        <v>160</v>
      </c>
      <c r="P6" s="11" t="s">
        <v>20</v>
      </c>
      <c r="Q6" s="11" t="s">
        <v>20</v>
      </c>
      <c r="R6" s="11" t="s">
        <v>20</v>
      </c>
      <c r="S6" s="11" t="s">
        <v>20</v>
      </c>
      <c r="T6" s="11" t="s">
        <v>140</v>
      </c>
      <c r="U6" s="11" t="s">
        <v>20</v>
      </c>
      <c r="V6" s="11" t="s">
        <v>20</v>
      </c>
      <c r="W6" s="11" t="s">
        <v>20</v>
      </c>
      <c r="X6" s="11" t="s">
        <v>161</v>
      </c>
      <c r="Y6" s="11"/>
      <c r="Z6" s="11"/>
      <c r="AA6" s="11"/>
      <c r="AB6" s="11"/>
      <c r="AC6" s="11"/>
    </row>
    <row r="7">
      <c r="A7" s="26" t="s">
        <v>553</v>
      </c>
      <c r="B7" s="26" t="s">
        <v>554</v>
      </c>
      <c r="C7" s="27"/>
      <c r="D7" s="9" t="s">
        <v>555</v>
      </c>
      <c r="E7" s="11" t="s">
        <v>556</v>
      </c>
      <c r="F7" s="11" t="s">
        <v>557</v>
      </c>
      <c r="G7" s="11" t="s">
        <v>558</v>
      </c>
      <c r="H7" s="11" t="s">
        <v>559</v>
      </c>
      <c r="I7" s="11" t="s">
        <v>15</v>
      </c>
      <c r="J7" s="11" t="s">
        <v>560</v>
      </c>
      <c r="K7" s="11" t="s">
        <v>561</v>
      </c>
      <c r="L7" s="11" t="s">
        <v>553</v>
      </c>
      <c r="M7" s="11" t="s">
        <v>562</v>
      </c>
      <c r="N7" s="11" t="s">
        <v>20</v>
      </c>
      <c r="O7" s="11" t="s">
        <v>563</v>
      </c>
      <c r="P7" s="11" t="s">
        <v>20</v>
      </c>
      <c r="Q7" s="11" t="s">
        <v>20</v>
      </c>
      <c r="R7" s="11" t="s">
        <v>20</v>
      </c>
      <c r="S7" s="11" t="s">
        <v>20</v>
      </c>
      <c r="T7" s="11" t="s">
        <v>564</v>
      </c>
      <c r="U7" s="11" t="s">
        <v>20</v>
      </c>
      <c r="V7" s="11" t="s">
        <v>20</v>
      </c>
      <c r="W7" s="11" t="s">
        <v>20</v>
      </c>
      <c r="X7" s="11" t="s">
        <v>565</v>
      </c>
      <c r="Y7" s="11"/>
      <c r="Z7" s="11"/>
      <c r="AA7" s="11"/>
      <c r="AB7" s="11"/>
      <c r="AC7" s="11"/>
    </row>
    <row r="8">
      <c r="A8" s="26" t="s">
        <v>69</v>
      </c>
      <c r="B8" s="26" t="s">
        <v>566</v>
      </c>
      <c r="C8" s="26" t="s">
        <v>538</v>
      </c>
      <c r="D8" s="9" t="s">
        <v>63</v>
      </c>
      <c r="E8" s="11" t="s">
        <v>64</v>
      </c>
      <c r="F8" s="11" t="s">
        <v>65</v>
      </c>
      <c r="G8" s="11" t="s">
        <v>66</v>
      </c>
      <c r="H8" s="11" t="s">
        <v>67</v>
      </c>
      <c r="I8" s="11" t="s">
        <v>15</v>
      </c>
      <c r="J8" s="11" t="s">
        <v>16</v>
      </c>
      <c r="K8" s="11" t="s">
        <v>68</v>
      </c>
      <c r="L8" s="11" t="s">
        <v>69</v>
      </c>
      <c r="M8" s="11" t="s">
        <v>20</v>
      </c>
      <c r="N8" s="11" t="s">
        <v>20</v>
      </c>
      <c r="O8" s="11" t="s">
        <v>70</v>
      </c>
      <c r="P8" s="11" t="s">
        <v>22</v>
      </c>
      <c r="Q8" s="11" t="s">
        <v>71</v>
      </c>
      <c r="R8" s="11" t="s">
        <v>20</v>
      </c>
      <c r="S8" s="11" t="s">
        <v>20</v>
      </c>
      <c r="T8" s="11" t="s">
        <v>72</v>
      </c>
      <c r="U8" s="11" t="s">
        <v>20</v>
      </c>
      <c r="V8" s="11" t="s">
        <v>20</v>
      </c>
      <c r="W8" s="11" t="s">
        <v>20</v>
      </c>
      <c r="X8" s="11" t="s">
        <v>73</v>
      </c>
      <c r="Y8" s="11"/>
      <c r="Z8" s="11"/>
      <c r="AA8" s="11"/>
      <c r="AB8" s="11"/>
      <c r="AC8" s="11"/>
    </row>
    <row r="9">
      <c r="A9" s="26" t="s">
        <v>567</v>
      </c>
      <c r="B9" s="26" t="s">
        <v>568</v>
      </c>
      <c r="C9" s="26" t="s">
        <v>569</v>
      </c>
      <c r="D9" s="4">
        <v>0.0</v>
      </c>
    </row>
    <row r="10">
      <c r="A10" s="26" t="s">
        <v>570</v>
      </c>
      <c r="B10" s="26" t="s">
        <v>571</v>
      </c>
      <c r="C10" s="26" t="s">
        <v>538</v>
      </c>
      <c r="D10" s="4">
        <v>0.0</v>
      </c>
    </row>
    <row r="11">
      <c r="A11" s="26" t="s">
        <v>264</v>
      </c>
      <c r="B11" s="26" t="s">
        <v>572</v>
      </c>
      <c r="C11" s="26" t="s">
        <v>538</v>
      </c>
      <c r="D11" s="9" t="s">
        <v>259</v>
      </c>
      <c r="E11" s="11" t="s">
        <v>260</v>
      </c>
      <c r="F11" s="11" t="s">
        <v>261</v>
      </c>
      <c r="G11" s="11" t="s">
        <v>262</v>
      </c>
      <c r="H11" s="11" t="s">
        <v>263</v>
      </c>
      <c r="I11" s="11" t="s">
        <v>15</v>
      </c>
      <c r="J11" s="11" t="s">
        <v>16</v>
      </c>
      <c r="K11" s="11" t="s">
        <v>193</v>
      </c>
      <c r="L11" s="11" t="s">
        <v>264</v>
      </c>
      <c r="M11" s="11" t="s">
        <v>265</v>
      </c>
      <c r="N11" s="11" t="s">
        <v>20</v>
      </c>
      <c r="O11" s="11" t="s">
        <v>266</v>
      </c>
      <c r="P11" s="11" t="s">
        <v>267</v>
      </c>
      <c r="Q11" s="11" t="s">
        <v>71</v>
      </c>
      <c r="R11" s="11" t="s">
        <v>20</v>
      </c>
      <c r="S11" s="11" t="s">
        <v>20</v>
      </c>
      <c r="T11" s="11" t="s">
        <v>268</v>
      </c>
      <c r="U11" s="11" t="s">
        <v>269</v>
      </c>
      <c r="V11" s="11" t="s">
        <v>20</v>
      </c>
      <c r="W11" s="11" t="s">
        <v>20</v>
      </c>
      <c r="X11" s="11" t="s">
        <v>270</v>
      </c>
      <c r="Y11" s="11"/>
      <c r="Z11" s="11"/>
      <c r="AA11" s="11"/>
      <c r="AB11" s="11"/>
      <c r="AC11" s="11"/>
    </row>
    <row r="12">
      <c r="A12" s="26" t="s">
        <v>573</v>
      </c>
      <c r="B12" s="26" t="s">
        <v>574</v>
      </c>
      <c r="C12" s="26" t="s">
        <v>538</v>
      </c>
      <c r="D12" s="4">
        <v>0.0</v>
      </c>
    </row>
    <row r="13">
      <c r="A13" s="26" t="s">
        <v>575</v>
      </c>
      <c r="B13" s="26" t="s">
        <v>576</v>
      </c>
      <c r="C13" s="26" t="s">
        <v>577</v>
      </c>
      <c r="D13" s="9" t="s">
        <v>578</v>
      </c>
      <c r="E13" s="11" t="s">
        <v>579</v>
      </c>
      <c r="F13" s="11" t="s">
        <v>580</v>
      </c>
      <c r="G13" s="11" t="s">
        <v>581</v>
      </c>
      <c r="H13" s="11" t="s">
        <v>582</v>
      </c>
      <c r="I13" s="11" t="s">
        <v>15</v>
      </c>
      <c r="J13" s="11" t="s">
        <v>583</v>
      </c>
      <c r="K13" s="11" t="s">
        <v>584</v>
      </c>
      <c r="L13" s="11" t="s">
        <v>575</v>
      </c>
      <c r="M13" s="11" t="s">
        <v>585</v>
      </c>
      <c r="N13" s="11" t="s">
        <v>586</v>
      </c>
      <c r="O13" s="11" t="s">
        <v>587</v>
      </c>
      <c r="P13" s="11" t="s">
        <v>20</v>
      </c>
      <c r="Q13" s="11" t="s">
        <v>20</v>
      </c>
      <c r="R13" s="11" t="s">
        <v>20</v>
      </c>
      <c r="S13" s="11" t="s">
        <v>20</v>
      </c>
      <c r="T13" s="11" t="s">
        <v>588</v>
      </c>
      <c r="U13" s="11" t="s">
        <v>20</v>
      </c>
      <c r="V13" s="11" t="s">
        <v>20</v>
      </c>
      <c r="W13" s="11" t="s">
        <v>20</v>
      </c>
      <c r="X13" s="11" t="s">
        <v>589</v>
      </c>
      <c r="Y13" s="11"/>
      <c r="Z13" s="11"/>
      <c r="AA13" s="11"/>
      <c r="AB13" s="11"/>
      <c r="AC13" s="11"/>
    </row>
    <row r="14">
      <c r="A14" s="26" t="s">
        <v>170</v>
      </c>
      <c r="B14" s="26" t="s">
        <v>590</v>
      </c>
      <c r="C14" s="26" t="s">
        <v>591</v>
      </c>
      <c r="D14" s="9" t="s">
        <v>164</v>
      </c>
      <c r="E14" s="11" t="s">
        <v>165</v>
      </c>
      <c r="F14" s="11" t="s">
        <v>166</v>
      </c>
      <c r="G14" s="11" t="s">
        <v>167</v>
      </c>
      <c r="H14" s="11" t="s">
        <v>168</v>
      </c>
      <c r="I14" s="11" t="s">
        <v>15</v>
      </c>
      <c r="J14" s="11" t="s">
        <v>16</v>
      </c>
      <c r="K14" s="11" t="s">
        <v>169</v>
      </c>
      <c r="L14" s="11" t="s">
        <v>170</v>
      </c>
      <c r="M14" s="11" t="s">
        <v>171</v>
      </c>
      <c r="N14" s="11" t="s">
        <v>20</v>
      </c>
      <c r="O14" s="11" t="s">
        <v>172</v>
      </c>
      <c r="P14" s="11" t="s">
        <v>20</v>
      </c>
      <c r="Q14" s="11" t="s">
        <v>20</v>
      </c>
      <c r="R14" s="11" t="s">
        <v>20</v>
      </c>
      <c r="S14" s="11" t="s">
        <v>20</v>
      </c>
      <c r="T14" s="11" t="s">
        <v>140</v>
      </c>
      <c r="U14" s="11" t="s">
        <v>20</v>
      </c>
      <c r="V14" s="11" t="s">
        <v>20</v>
      </c>
      <c r="W14" s="11" t="s">
        <v>20</v>
      </c>
      <c r="X14" s="11" t="s">
        <v>173</v>
      </c>
      <c r="Y14" s="11"/>
      <c r="Z14" s="11"/>
      <c r="AA14" s="11"/>
      <c r="AB14" s="11"/>
      <c r="AC14" s="11"/>
    </row>
    <row r="15">
      <c r="A15" s="28" t="s">
        <v>592</v>
      </c>
      <c r="B15" s="28" t="s">
        <v>593</v>
      </c>
      <c r="C15" s="28" t="s">
        <v>594</v>
      </c>
      <c r="D15" s="9" t="s">
        <v>595</v>
      </c>
      <c r="E15" s="11" t="s">
        <v>596</v>
      </c>
      <c r="F15" s="11" t="s">
        <v>597</v>
      </c>
      <c r="G15" s="11" t="s">
        <v>598</v>
      </c>
      <c r="H15" s="11" t="s">
        <v>599</v>
      </c>
      <c r="I15" s="11" t="s">
        <v>15</v>
      </c>
      <c r="J15" s="11" t="s">
        <v>600</v>
      </c>
      <c r="K15" s="11" t="s">
        <v>601</v>
      </c>
      <c r="L15" s="11" t="s">
        <v>592</v>
      </c>
      <c r="M15" s="11" t="s">
        <v>602</v>
      </c>
      <c r="N15" s="11" t="s">
        <v>20</v>
      </c>
      <c r="O15" s="11" t="s">
        <v>603</v>
      </c>
      <c r="P15" s="11" t="s">
        <v>604</v>
      </c>
      <c r="Q15" s="11" t="s">
        <v>20</v>
      </c>
      <c r="R15" s="11" t="s">
        <v>20</v>
      </c>
      <c r="S15" s="11" t="s">
        <v>20</v>
      </c>
      <c r="T15" s="11" t="s">
        <v>605</v>
      </c>
      <c r="U15" s="11" t="s">
        <v>20</v>
      </c>
      <c r="V15" s="11" t="s">
        <v>20</v>
      </c>
      <c r="W15" s="11" t="s">
        <v>20</v>
      </c>
      <c r="X15" s="11" t="s">
        <v>606</v>
      </c>
      <c r="Y15" s="11"/>
      <c r="Z15" s="11"/>
      <c r="AA15" s="11"/>
      <c r="AB15" s="11"/>
      <c r="AC15" s="11"/>
    </row>
    <row r="16">
      <c r="D16" s="9" t="s">
        <v>607</v>
      </c>
      <c r="E16" s="11" t="s">
        <v>608</v>
      </c>
      <c r="F16" s="11" t="s">
        <v>609</v>
      </c>
      <c r="G16" s="11" t="s">
        <v>610</v>
      </c>
      <c r="H16" s="11" t="s">
        <v>599</v>
      </c>
      <c r="I16" s="11" t="s">
        <v>15</v>
      </c>
      <c r="J16" s="11" t="s">
        <v>600</v>
      </c>
      <c r="K16" s="11" t="s">
        <v>601</v>
      </c>
      <c r="L16" s="11" t="s">
        <v>592</v>
      </c>
      <c r="M16" s="11" t="s">
        <v>602</v>
      </c>
      <c r="N16" s="11" t="s">
        <v>20</v>
      </c>
      <c r="O16" s="11" t="s">
        <v>603</v>
      </c>
      <c r="P16" s="11" t="s">
        <v>604</v>
      </c>
      <c r="Q16" s="11" t="s">
        <v>20</v>
      </c>
      <c r="R16" s="11" t="s">
        <v>20</v>
      </c>
      <c r="S16" s="11" t="s">
        <v>20</v>
      </c>
      <c r="T16" s="11" t="s">
        <v>605</v>
      </c>
      <c r="U16" s="11" t="s">
        <v>20</v>
      </c>
      <c r="V16" s="11" t="s">
        <v>20</v>
      </c>
      <c r="W16" s="11" t="s">
        <v>20</v>
      </c>
      <c r="X16" s="11" t="s">
        <v>606</v>
      </c>
      <c r="Y16" s="11"/>
      <c r="Z16" s="11"/>
      <c r="AA16" s="11"/>
      <c r="AB16" s="11"/>
      <c r="AC16" s="11"/>
    </row>
    <row r="17">
      <c r="A17" s="26" t="s">
        <v>611</v>
      </c>
      <c r="B17" s="26" t="s">
        <v>612</v>
      </c>
      <c r="C17" s="26" t="s">
        <v>538</v>
      </c>
      <c r="D17" s="4">
        <v>0.0</v>
      </c>
    </row>
    <row r="18">
      <c r="A18" s="26" t="s">
        <v>613</v>
      </c>
      <c r="B18" s="26" t="s">
        <v>614</v>
      </c>
      <c r="C18" s="26" t="s">
        <v>577</v>
      </c>
      <c r="D18" s="4" t="s">
        <v>615</v>
      </c>
      <c r="E18" s="29" t="s">
        <v>616</v>
      </c>
      <c r="F18" s="29" t="s">
        <v>617</v>
      </c>
      <c r="G18" s="29" t="s">
        <v>618</v>
      </c>
      <c r="H18" s="29" t="s">
        <v>619</v>
      </c>
      <c r="I18" s="29" t="s">
        <v>15</v>
      </c>
      <c r="J18" s="29" t="s">
        <v>16</v>
      </c>
      <c r="K18" s="29" t="s">
        <v>620</v>
      </c>
      <c r="L18" s="29" t="s">
        <v>613</v>
      </c>
      <c r="M18" s="29" t="s">
        <v>621</v>
      </c>
      <c r="N18" s="29" t="s">
        <v>20</v>
      </c>
      <c r="O18" s="29" t="s">
        <v>622</v>
      </c>
      <c r="P18" s="29" t="s">
        <v>20</v>
      </c>
      <c r="Q18" s="29" t="s">
        <v>20</v>
      </c>
      <c r="R18" s="29" t="s">
        <v>20</v>
      </c>
      <c r="S18" s="29" t="s">
        <v>20</v>
      </c>
      <c r="T18" s="29" t="s">
        <v>623</v>
      </c>
      <c r="U18" s="29" t="s">
        <v>20</v>
      </c>
      <c r="V18" s="29" t="s">
        <v>20</v>
      </c>
      <c r="W18" s="29" t="s">
        <v>20</v>
      </c>
      <c r="X18" s="29" t="s">
        <v>624</v>
      </c>
    </row>
    <row r="19">
      <c r="D19" s="4" t="s">
        <v>625</v>
      </c>
      <c r="E19" s="29" t="s">
        <v>626</v>
      </c>
      <c r="F19" s="30">
        <v>2.0E-134</v>
      </c>
      <c r="G19" s="29" t="s">
        <v>627</v>
      </c>
      <c r="H19" s="29" t="s">
        <v>628</v>
      </c>
      <c r="I19" s="29" t="s">
        <v>15</v>
      </c>
      <c r="J19" s="29" t="s">
        <v>16</v>
      </c>
      <c r="K19" s="29" t="s">
        <v>620</v>
      </c>
      <c r="L19" s="29" t="s">
        <v>613</v>
      </c>
      <c r="M19" s="29" t="s">
        <v>621</v>
      </c>
      <c r="N19" s="29" t="s">
        <v>20</v>
      </c>
      <c r="O19" s="29" t="s">
        <v>622</v>
      </c>
      <c r="P19" s="29" t="s">
        <v>20</v>
      </c>
      <c r="Q19" s="29" t="s">
        <v>20</v>
      </c>
      <c r="R19" s="29" t="s">
        <v>20</v>
      </c>
      <c r="S19" s="29" t="s">
        <v>20</v>
      </c>
      <c r="T19" s="29" t="s">
        <v>623</v>
      </c>
      <c r="U19" s="29" t="s">
        <v>20</v>
      </c>
      <c r="V19" s="29" t="s">
        <v>20</v>
      </c>
      <c r="W19" s="29" t="s">
        <v>20</v>
      </c>
      <c r="X19" s="29" t="s">
        <v>624</v>
      </c>
    </row>
    <row r="20">
      <c r="A20" s="26" t="s">
        <v>277</v>
      </c>
      <c r="B20" s="26" t="s">
        <v>629</v>
      </c>
      <c r="C20" s="26" t="s">
        <v>538</v>
      </c>
      <c r="D20" s="9" t="s">
        <v>272</v>
      </c>
      <c r="E20" s="11" t="s">
        <v>273</v>
      </c>
      <c r="F20" s="11" t="s">
        <v>274</v>
      </c>
      <c r="G20" s="11" t="s">
        <v>275</v>
      </c>
      <c r="H20" s="11" t="s">
        <v>276</v>
      </c>
      <c r="I20" s="11" t="s">
        <v>15</v>
      </c>
      <c r="J20" s="11" t="s">
        <v>16</v>
      </c>
      <c r="K20" s="11" t="s">
        <v>193</v>
      </c>
      <c r="L20" s="11" t="s">
        <v>277</v>
      </c>
      <c r="M20" s="11" t="s">
        <v>278</v>
      </c>
      <c r="N20" s="11" t="s">
        <v>279</v>
      </c>
      <c r="O20" s="11" t="s">
        <v>280</v>
      </c>
      <c r="P20" s="11" t="s">
        <v>22</v>
      </c>
      <c r="Q20" s="11" t="s">
        <v>23</v>
      </c>
      <c r="R20" s="11" t="s">
        <v>20</v>
      </c>
      <c r="S20" s="11" t="s">
        <v>20</v>
      </c>
      <c r="T20" s="11" t="s">
        <v>281</v>
      </c>
      <c r="U20" s="11" t="s">
        <v>20</v>
      </c>
      <c r="V20" s="11" t="s">
        <v>20</v>
      </c>
      <c r="W20" s="11" t="s">
        <v>20</v>
      </c>
      <c r="X20" s="11" t="s">
        <v>282</v>
      </c>
      <c r="Y20" s="11"/>
      <c r="Z20" s="11"/>
      <c r="AA20" s="11"/>
      <c r="AB20" s="11"/>
      <c r="AC20" s="11"/>
    </row>
    <row r="21">
      <c r="A21" s="26" t="s">
        <v>630</v>
      </c>
      <c r="B21" s="26" t="s">
        <v>631</v>
      </c>
      <c r="C21" s="27"/>
      <c r="D21" s="9" t="s">
        <v>632</v>
      </c>
      <c r="E21" s="11" t="s">
        <v>633</v>
      </c>
      <c r="F21" s="11" t="s">
        <v>634</v>
      </c>
      <c r="G21" s="11" t="s">
        <v>635</v>
      </c>
      <c r="H21" s="11" t="s">
        <v>636</v>
      </c>
      <c r="I21" s="11" t="s">
        <v>15</v>
      </c>
      <c r="J21" s="11" t="s">
        <v>180</v>
      </c>
      <c r="K21" s="11" t="s">
        <v>637</v>
      </c>
      <c r="L21" s="11" t="s">
        <v>630</v>
      </c>
      <c r="M21" s="11" t="s">
        <v>638</v>
      </c>
      <c r="N21" s="11" t="s">
        <v>639</v>
      </c>
      <c r="O21" s="11" t="s">
        <v>640</v>
      </c>
      <c r="P21" s="11" t="s">
        <v>641</v>
      </c>
      <c r="Q21" s="11" t="s">
        <v>20</v>
      </c>
      <c r="R21" s="11" t="s">
        <v>20</v>
      </c>
      <c r="S21" s="11" t="s">
        <v>20</v>
      </c>
      <c r="T21" s="11" t="s">
        <v>642</v>
      </c>
      <c r="U21" s="11" t="s">
        <v>20</v>
      </c>
      <c r="V21" s="11" t="s">
        <v>20</v>
      </c>
      <c r="W21" s="11" t="s">
        <v>20</v>
      </c>
      <c r="X21" s="11" t="s">
        <v>643</v>
      </c>
      <c r="Y21" s="11"/>
      <c r="Z21" s="11"/>
      <c r="AA21" s="11"/>
      <c r="AB21" s="11"/>
      <c r="AC21" s="11"/>
    </row>
    <row r="22">
      <c r="D22" s="9" t="s">
        <v>644</v>
      </c>
      <c r="E22" s="11" t="s">
        <v>645</v>
      </c>
      <c r="F22" s="11" t="s">
        <v>646</v>
      </c>
      <c r="G22" s="14">
        <v>46168.0</v>
      </c>
      <c r="H22" s="11" t="s">
        <v>647</v>
      </c>
      <c r="I22" s="11" t="s">
        <v>15</v>
      </c>
      <c r="J22" s="11" t="s">
        <v>180</v>
      </c>
      <c r="K22" s="11" t="s">
        <v>648</v>
      </c>
      <c r="L22" s="11" t="s">
        <v>630</v>
      </c>
      <c r="M22" s="11" t="s">
        <v>638</v>
      </c>
      <c r="N22" s="11" t="s">
        <v>639</v>
      </c>
      <c r="O22" s="11" t="s">
        <v>640</v>
      </c>
      <c r="P22" s="11" t="s">
        <v>641</v>
      </c>
      <c r="Q22" s="11" t="s">
        <v>20</v>
      </c>
      <c r="R22" s="11" t="s">
        <v>20</v>
      </c>
      <c r="S22" s="11" t="s">
        <v>20</v>
      </c>
      <c r="T22" s="11" t="s">
        <v>642</v>
      </c>
      <c r="U22" s="11" t="s">
        <v>20</v>
      </c>
      <c r="V22" s="11" t="s">
        <v>20</v>
      </c>
      <c r="W22" s="11" t="s">
        <v>20</v>
      </c>
      <c r="X22" s="11" t="s">
        <v>643</v>
      </c>
      <c r="Y22" s="11"/>
      <c r="Z22" s="11"/>
      <c r="AA22" s="11"/>
      <c r="AB22" s="11"/>
      <c r="AC22" s="11"/>
    </row>
    <row r="23">
      <c r="D23" s="9" t="s">
        <v>649</v>
      </c>
      <c r="E23" s="11" t="s">
        <v>645</v>
      </c>
      <c r="F23" s="11" t="s">
        <v>650</v>
      </c>
      <c r="G23" s="11" t="s">
        <v>651</v>
      </c>
      <c r="H23" s="11" t="s">
        <v>647</v>
      </c>
      <c r="I23" s="11" t="s">
        <v>15</v>
      </c>
      <c r="J23" s="11" t="s">
        <v>180</v>
      </c>
      <c r="K23" s="11" t="s">
        <v>648</v>
      </c>
      <c r="L23" s="11" t="s">
        <v>630</v>
      </c>
      <c r="M23" s="11" t="s">
        <v>638</v>
      </c>
      <c r="N23" s="11" t="s">
        <v>639</v>
      </c>
      <c r="O23" s="11" t="s">
        <v>640</v>
      </c>
      <c r="P23" s="11" t="s">
        <v>641</v>
      </c>
      <c r="Q23" s="11" t="s">
        <v>20</v>
      </c>
      <c r="R23" s="11" t="s">
        <v>20</v>
      </c>
      <c r="S23" s="11" t="s">
        <v>20</v>
      </c>
      <c r="T23" s="11" t="s">
        <v>642</v>
      </c>
      <c r="U23" s="11" t="s">
        <v>20</v>
      </c>
      <c r="V23" s="11" t="s">
        <v>20</v>
      </c>
      <c r="W23" s="11" t="s">
        <v>20</v>
      </c>
      <c r="X23" s="11" t="s">
        <v>643</v>
      </c>
      <c r="Y23" s="11"/>
      <c r="Z23" s="11"/>
      <c r="AA23" s="11"/>
      <c r="AB23" s="11"/>
      <c r="AC23" s="11"/>
    </row>
    <row r="24">
      <c r="D24" s="9" t="s">
        <v>652</v>
      </c>
      <c r="E24" s="11" t="s">
        <v>645</v>
      </c>
      <c r="F24" s="11" t="s">
        <v>653</v>
      </c>
      <c r="G24" s="11" t="s">
        <v>654</v>
      </c>
      <c r="H24" s="11" t="s">
        <v>647</v>
      </c>
      <c r="I24" s="11" t="s">
        <v>15</v>
      </c>
      <c r="J24" s="11" t="s">
        <v>180</v>
      </c>
      <c r="K24" s="11" t="s">
        <v>648</v>
      </c>
      <c r="L24" s="11" t="s">
        <v>630</v>
      </c>
      <c r="M24" s="11" t="s">
        <v>638</v>
      </c>
      <c r="N24" s="11" t="s">
        <v>639</v>
      </c>
      <c r="O24" s="11" t="s">
        <v>640</v>
      </c>
      <c r="P24" s="11" t="s">
        <v>641</v>
      </c>
      <c r="Q24" s="11" t="s">
        <v>20</v>
      </c>
      <c r="R24" s="11" t="s">
        <v>20</v>
      </c>
      <c r="S24" s="11" t="s">
        <v>20</v>
      </c>
      <c r="T24" s="11" t="s">
        <v>642</v>
      </c>
      <c r="U24" s="11" t="s">
        <v>20</v>
      </c>
      <c r="V24" s="11" t="s">
        <v>20</v>
      </c>
      <c r="W24" s="11" t="s">
        <v>20</v>
      </c>
      <c r="X24" s="11" t="s">
        <v>643</v>
      </c>
      <c r="Y24" s="11"/>
      <c r="Z24" s="11"/>
      <c r="AA24" s="11"/>
      <c r="AB24" s="11"/>
      <c r="AC24" s="11"/>
    </row>
    <row r="25">
      <c r="A25" s="26" t="s">
        <v>655</v>
      </c>
      <c r="B25" s="26" t="s">
        <v>656</v>
      </c>
      <c r="C25" s="26" t="s">
        <v>538</v>
      </c>
      <c r="D25" s="9" t="s">
        <v>657</v>
      </c>
      <c r="E25" s="11" t="s">
        <v>658</v>
      </c>
      <c r="F25" s="11" t="s">
        <v>659</v>
      </c>
      <c r="G25" s="11" t="s">
        <v>660</v>
      </c>
      <c r="H25" s="11" t="s">
        <v>661</v>
      </c>
      <c r="I25" s="11" t="s">
        <v>15</v>
      </c>
      <c r="J25" s="11" t="s">
        <v>560</v>
      </c>
      <c r="K25" s="11" t="s">
        <v>662</v>
      </c>
      <c r="L25" s="11" t="s">
        <v>655</v>
      </c>
      <c r="M25" s="11" t="s">
        <v>663</v>
      </c>
      <c r="N25" s="11" t="s">
        <v>20</v>
      </c>
      <c r="O25" s="11" t="s">
        <v>664</v>
      </c>
      <c r="P25" s="11" t="s">
        <v>20</v>
      </c>
      <c r="Q25" s="11" t="s">
        <v>20</v>
      </c>
      <c r="R25" s="11" t="s">
        <v>20</v>
      </c>
      <c r="S25" s="11" t="s">
        <v>20</v>
      </c>
      <c r="T25" s="11" t="s">
        <v>665</v>
      </c>
      <c r="U25" s="11" t="s">
        <v>20</v>
      </c>
      <c r="V25" s="11" t="s">
        <v>20</v>
      </c>
      <c r="W25" s="11" t="s">
        <v>20</v>
      </c>
      <c r="X25" s="11" t="s">
        <v>666</v>
      </c>
      <c r="Y25" s="11"/>
      <c r="Z25" s="11"/>
      <c r="AA25" s="11"/>
      <c r="AB25" s="11"/>
      <c r="AC25" s="11"/>
    </row>
    <row r="26">
      <c r="A26" s="26" t="s">
        <v>667</v>
      </c>
      <c r="B26" s="26" t="s">
        <v>668</v>
      </c>
      <c r="C26" s="26" t="s">
        <v>594</v>
      </c>
      <c r="D26" s="9" t="s">
        <v>669</v>
      </c>
      <c r="E26" s="11" t="s">
        <v>670</v>
      </c>
      <c r="F26" s="11" t="s">
        <v>671</v>
      </c>
      <c r="G26" s="11" t="s">
        <v>672</v>
      </c>
      <c r="H26" s="11" t="s">
        <v>673</v>
      </c>
      <c r="I26" s="11" t="s">
        <v>15</v>
      </c>
      <c r="J26" s="11" t="s">
        <v>674</v>
      </c>
      <c r="K26" s="11" t="s">
        <v>675</v>
      </c>
      <c r="L26" s="11" t="s">
        <v>667</v>
      </c>
      <c r="M26" s="11" t="s">
        <v>676</v>
      </c>
      <c r="N26" s="11" t="s">
        <v>677</v>
      </c>
      <c r="O26" s="11" t="s">
        <v>678</v>
      </c>
      <c r="P26" s="11" t="s">
        <v>679</v>
      </c>
      <c r="Q26" s="11" t="s">
        <v>20</v>
      </c>
      <c r="R26" s="11" t="s">
        <v>680</v>
      </c>
      <c r="S26" s="11" t="s">
        <v>681</v>
      </c>
      <c r="T26" s="11" t="s">
        <v>605</v>
      </c>
      <c r="U26" s="11" t="s">
        <v>20</v>
      </c>
      <c r="V26" s="11" t="s">
        <v>20</v>
      </c>
      <c r="W26" s="11" t="s">
        <v>20</v>
      </c>
      <c r="X26" s="11" t="s">
        <v>682</v>
      </c>
      <c r="Y26" s="11"/>
      <c r="Z26" s="11"/>
      <c r="AA26" s="11"/>
      <c r="AB26" s="11"/>
      <c r="AC26" s="11"/>
    </row>
    <row r="27">
      <c r="D27" s="9" t="s">
        <v>683</v>
      </c>
      <c r="E27" s="11" t="s">
        <v>684</v>
      </c>
      <c r="F27" s="11" t="s">
        <v>685</v>
      </c>
      <c r="G27" s="11" t="s">
        <v>686</v>
      </c>
      <c r="H27" s="11" t="s">
        <v>687</v>
      </c>
      <c r="I27" s="11" t="s">
        <v>15</v>
      </c>
      <c r="J27" s="11" t="s">
        <v>688</v>
      </c>
      <c r="K27" s="11" t="s">
        <v>675</v>
      </c>
      <c r="L27" s="11" t="s">
        <v>667</v>
      </c>
      <c r="M27" s="11" t="s">
        <v>676</v>
      </c>
      <c r="N27" s="11" t="s">
        <v>20</v>
      </c>
      <c r="O27" s="11" t="s">
        <v>689</v>
      </c>
      <c r="P27" s="11" t="s">
        <v>679</v>
      </c>
      <c r="Q27" s="11" t="s">
        <v>20</v>
      </c>
      <c r="R27" s="11" t="s">
        <v>690</v>
      </c>
      <c r="S27" s="11" t="s">
        <v>691</v>
      </c>
      <c r="T27" s="11" t="s">
        <v>605</v>
      </c>
      <c r="U27" s="11" t="s">
        <v>20</v>
      </c>
      <c r="V27" s="11" t="s">
        <v>20</v>
      </c>
      <c r="W27" s="11" t="s">
        <v>20</v>
      </c>
      <c r="X27" s="11" t="s">
        <v>682</v>
      </c>
      <c r="Y27" s="11"/>
      <c r="Z27" s="11"/>
      <c r="AA27" s="11"/>
      <c r="AB27" s="11"/>
      <c r="AC27" s="11"/>
    </row>
    <row r="28">
      <c r="A28" s="26" t="s">
        <v>692</v>
      </c>
      <c r="B28" s="26" t="s">
        <v>693</v>
      </c>
      <c r="C28" s="26" t="s">
        <v>694</v>
      </c>
      <c r="D28" s="4">
        <v>0.0</v>
      </c>
    </row>
    <row r="29">
      <c r="A29" s="26" t="s">
        <v>695</v>
      </c>
      <c r="B29" s="26" t="s">
        <v>696</v>
      </c>
      <c r="C29" s="26" t="s">
        <v>538</v>
      </c>
      <c r="D29" s="4">
        <v>0.0</v>
      </c>
    </row>
    <row r="30">
      <c r="A30" s="26" t="s">
        <v>697</v>
      </c>
      <c r="B30" s="26" t="s">
        <v>698</v>
      </c>
      <c r="C30" s="27"/>
      <c r="D30" s="4">
        <v>0.0</v>
      </c>
    </row>
    <row r="31">
      <c r="A31" s="26" t="s">
        <v>18</v>
      </c>
      <c r="B31" s="26" t="s">
        <v>699</v>
      </c>
      <c r="C31" s="26" t="s">
        <v>538</v>
      </c>
      <c r="D31" s="9" t="s">
        <v>10</v>
      </c>
      <c r="E31" s="11" t="s">
        <v>11</v>
      </c>
      <c r="F31" s="11" t="s">
        <v>12</v>
      </c>
      <c r="G31" s="11" t="s">
        <v>13</v>
      </c>
      <c r="H31" s="11" t="s">
        <v>14</v>
      </c>
      <c r="I31" s="11" t="s">
        <v>15</v>
      </c>
      <c r="J31" s="11" t="s">
        <v>16</v>
      </c>
      <c r="K31" s="11" t="s">
        <v>17</v>
      </c>
      <c r="L31" s="11" t="s">
        <v>18</v>
      </c>
      <c r="M31" s="11" t="s">
        <v>19</v>
      </c>
      <c r="N31" s="11" t="s">
        <v>20</v>
      </c>
      <c r="O31" s="11" t="s">
        <v>21</v>
      </c>
      <c r="P31" s="11" t="s">
        <v>22</v>
      </c>
      <c r="Q31" s="11" t="s">
        <v>23</v>
      </c>
      <c r="R31" s="11" t="s">
        <v>20</v>
      </c>
      <c r="S31" s="11" t="s">
        <v>20</v>
      </c>
      <c r="T31" s="11" t="s">
        <v>24</v>
      </c>
      <c r="U31" s="11" t="s">
        <v>20</v>
      </c>
      <c r="V31" s="11" t="s">
        <v>20</v>
      </c>
      <c r="W31" s="11" t="s">
        <v>20</v>
      </c>
      <c r="X31" s="11" t="s">
        <v>25</v>
      </c>
      <c r="Y31" s="11"/>
      <c r="Z31" s="11"/>
      <c r="AA31" s="11"/>
      <c r="AB31" s="11"/>
      <c r="AC31" s="11"/>
    </row>
    <row r="32">
      <c r="A32" s="26" t="s">
        <v>700</v>
      </c>
      <c r="B32" s="26" t="s">
        <v>701</v>
      </c>
      <c r="C32" s="26" t="s">
        <v>577</v>
      </c>
      <c r="D32" s="4">
        <v>0.0</v>
      </c>
    </row>
    <row r="33">
      <c r="A33" s="26" t="s">
        <v>702</v>
      </c>
      <c r="B33" s="26" t="s">
        <v>703</v>
      </c>
      <c r="C33" s="26" t="s">
        <v>577</v>
      </c>
      <c r="D33" s="4">
        <v>0.0</v>
      </c>
    </row>
    <row r="34">
      <c r="A34" s="26" t="s">
        <v>704</v>
      </c>
      <c r="B34" s="26" t="s">
        <v>705</v>
      </c>
      <c r="C34" s="26" t="s">
        <v>538</v>
      </c>
      <c r="D34" s="4">
        <v>0.0</v>
      </c>
    </row>
    <row r="35">
      <c r="A35" s="26" t="s">
        <v>291</v>
      </c>
      <c r="B35" s="26" t="s">
        <v>706</v>
      </c>
      <c r="C35" s="26" t="s">
        <v>538</v>
      </c>
      <c r="D35" s="9" t="s">
        <v>285</v>
      </c>
      <c r="E35" s="11" t="s">
        <v>286</v>
      </c>
      <c r="F35" s="11" t="s">
        <v>287</v>
      </c>
      <c r="G35" s="11" t="s">
        <v>288</v>
      </c>
      <c r="H35" s="11" t="s">
        <v>289</v>
      </c>
      <c r="I35" s="11" t="s">
        <v>15</v>
      </c>
      <c r="J35" s="11" t="s">
        <v>16</v>
      </c>
      <c r="K35" s="11" t="s">
        <v>290</v>
      </c>
      <c r="L35" s="11" t="s">
        <v>291</v>
      </c>
      <c r="M35" s="11" t="s">
        <v>292</v>
      </c>
      <c r="N35" s="11" t="s">
        <v>20</v>
      </c>
      <c r="O35" s="11" t="s">
        <v>293</v>
      </c>
      <c r="P35" s="11" t="s">
        <v>22</v>
      </c>
      <c r="Q35" s="11" t="s">
        <v>23</v>
      </c>
      <c r="R35" s="11" t="s">
        <v>20</v>
      </c>
      <c r="S35" s="11" t="s">
        <v>20</v>
      </c>
      <c r="T35" s="11" t="s">
        <v>24</v>
      </c>
      <c r="U35" s="11" t="s">
        <v>20</v>
      </c>
      <c r="V35" s="11" t="s">
        <v>20</v>
      </c>
      <c r="W35" s="11" t="s">
        <v>20</v>
      </c>
      <c r="X35" s="11" t="s">
        <v>294</v>
      </c>
      <c r="Y35" s="11"/>
      <c r="Z35" s="11"/>
      <c r="AA35" s="11"/>
      <c r="AB35" s="11"/>
      <c r="AC35" s="11"/>
    </row>
    <row r="36">
      <c r="A36" s="26" t="s">
        <v>357</v>
      </c>
      <c r="B36" s="26" t="s">
        <v>707</v>
      </c>
      <c r="C36" s="26" t="s">
        <v>708</v>
      </c>
      <c r="D36" s="9" t="s">
        <v>352</v>
      </c>
      <c r="E36" s="11" t="s">
        <v>353</v>
      </c>
      <c r="F36" s="11" t="s">
        <v>354</v>
      </c>
      <c r="G36" s="11" t="s">
        <v>355</v>
      </c>
      <c r="H36" s="11" t="s">
        <v>356</v>
      </c>
      <c r="I36" s="11" t="s">
        <v>15</v>
      </c>
      <c r="J36" s="11" t="s">
        <v>16</v>
      </c>
      <c r="K36" s="11" t="s">
        <v>193</v>
      </c>
      <c r="L36" s="11" t="s">
        <v>357</v>
      </c>
      <c r="M36" s="11" t="s">
        <v>348</v>
      </c>
      <c r="N36" s="11" t="s">
        <v>20</v>
      </c>
      <c r="O36" s="11" t="s">
        <v>358</v>
      </c>
      <c r="P36" s="11" t="s">
        <v>22</v>
      </c>
      <c r="Q36" s="11" t="s">
        <v>23</v>
      </c>
      <c r="R36" s="11" t="s">
        <v>20</v>
      </c>
      <c r="S36" s="11" t="s">
        <v>20</v>
      </c>
      <c r="T36" s="11" t="s">
        <v>24</v>
      </c>
      <c r="U36" s="11" t="s">
        <v>20</v>
      </c>
      <c r="V36" s="11" t="s">
        <v>20</v>
      </c>
      <c r="W36" s="11" t="s">
        <v>20</v>
      </c>
      <c r="X36" s="11" t="s">
        <v>359</v>
      </c>
    </row>
    <row r="37">
      <c r="A37" s="26" t="s">
        <v>709</v>
      </c>
      <c r="B37" s="26" t="s">
        <v>710</v>
      </c>
      <c r="C37" s="26" t="s">
        <v>694</v>
      </c>
      <c r="D37" s="4">
        <v>0.0</v>
      </c>
    </row>
    <row r="38">
      <c r="A38" s="26" t="s">
        <v>711</v>
      </c>
      <c r="B38" s="26" t="s">
        <v>712</v>
      </c>
      <c r="C38" s="27"/>
      <c r="D38" s="4" t="s">
        <v>713</v>
      </c>
      <c r="E38" s="29" t="s">
        <v>714</v>
      </c>
      <c r="F38" s="29" t="s">
        <v>715</v>
      </c>
      <c r="G38" s="29" t="s">
        <v>716</v>
      </c>
      <c r="H38" s="29" t="s">
        <v>717</v>
      </c>
      <c r="I38" s="29" t="s">
        <v>15</v>
      </c>
      <c r="J38" s="29" t="s">
        <v>718</v>
      </c>
      <c r="K38" s="29" t="s">
        <v>719</v>
      </c>
      <c r="L38" s="29" t="s">
        <v>711</v>
      </c>
      <c r="M38" s="29" t="s">
        <v>720</v>
      </c>
      <c r="N38" s="29" t="s">
        <v>721</v>
      </c>
      <c r="O38" s="29" t="s">
        <v>722</v>
      </c>
      <c r="P38" s="29" t="s">
        <v>723</v>
      </c>
      <c r="Q38" s="29" t="s">
        <v>724</v>
      </c>
      <c r="R38" s="29" t="s">
        <v>20</v>
      </c>
      <c r="S38" s="29" t="s">
        <v>20</v>
      </c>
      <c r="T38" s="29" t="s">
        <v>725</v>
      </c>
      <c r="U38" s="29" t="s">
        <v>20</v>
      </c>
      <c r="V38" s="29" t="s">
        <v>20</v>
      </c>
      <c r="W38" s="29" t="s">
        <v>20</v>
      </c>
      <c r="X38" s="29" t="s">
        <v>726</v>
      </c>
    </row>
    <row r="39">
      <c r="D39" s="9" t="s">
        <v>727</v>
      </c>
      <c r="E39" s="11" t="s">
        <v>714</v>
      </c>
      <c r="F39" s="11" t="s">
        <v>728</v>
      </c>
      <c r="G39" s="11" t="s">
        <v>729</v>
      </c>
      <c r="H39" s="11" t="s">
        <v>717</v>
      </c>
      <c r="I39" s="11" t="s">
        <v>15</v>
      </c>
      <c r="J39" s="11" t="s">
        <v>718</v>
      </c>
      <c r="K39" s="11" t="s">
        <v>719</v>
      </c>
      <c r="L39" s="11" t="s">
        <v>711</v>
      </c>
      <c r="M39" s="11" t="s">
        <v>720</v>
      </c>
      <c r="N39" s="11" t="s">
        <v>721</v>
      </c>
      <c r="O39" s="11" t="s">
        <v>722</v>
      </c>
      <c r="P39" s="11" t="s">
        <v>723</v>
      </c>
      <c r="Q39" s="11" t="s">
        <v>724</v>
      </c>
      <c r="R39" s="11" t="s">
        <v>20</v>
      </c>
      <c r="S39" s="11" t="s">
        <v>20</v>
      </c>
      <c r="T39" s="11" t="s">
        <v>725</v>
      </c>
      <c r="U39" s="11" t="s">
        <v>20</v>
      </c>
      <c r="V39" s="11" t="s">
        <v>20</v>
      </c>
      <c r="W39" s="11" t="s">
        <v>20</v>
      </c>
      <c r="X39" s="11" t="s">
        <v>726</v>
      </c>
      <c r="Y39" s="11"/>
      <c r="Z39" s="11"/>
      <c r="AA39" s="11"/>
      <c r="AB39" s="11"/>
      <c r="AC39" s="11"/>
    </row>
    <row r="40">
      <c r="D40" s="9" t="s">
        <v>730</v>
      </c>
      <c r="E40" s="11" t="s">
        <v>731</v>
      </c>
      <c r="F40" s="11" t="s">
        <v>732</v>
      </c>
      <c r="G40" s="11" t="s">
        <v>733</v>
      </c>
      <c r="H40" s="11" t="s">
        <v>734</v>
      </c>
      <c r="I40" s="11" t="s">
        <v>15</v>
      </c>
      <c r="J40" s="11" t="s">
        <v>718</v>
      </c>
      <c r="K40" s="11" t="s">
        <v>719</v>
      </c>
      <c r="L40" s="11" t="s">
        <v>711</v>
      </c>
      <c r="M40" s="11" t="s">
        <v>720</v>
      </c>
      <c r="N40" s="11" t="s">
        <v>721</v>
      </c>
      <c r="O40" s="11" t="s">
        <v>722</v>
      </c>
      <c r="P40" s="11" t="s">
        <v>723</v>
      </c>
      <c r="Q40" s="11" t="s">
        <v>724</v>
      </c>
      <c r="R40" s="11" t="s">
        <v>20</v>
      </c>
      <c r="S40" s="11" t="s">
        <v>20</v>
      </c>
      <c r="T40" s="11" t="s">
        <v>725</v>
      </c>
      <c r="U40" s="11" t="s">
        <v>20</v>
      </c>
      <c r="V40" s="11" t="s">
        <v>20</v>
      </c>
      <c r="W40" s="11" t="s">
        <v>20</v>
      </c>
      <c r="X40" s="11" t="s">
        <v>726</v>
      </c>
      <c r="Y40" s="11"/>
      <c r="Z40" s="11"/>
      <c r="AA40" s="11"/>
      <c r="AB40" s="11"/>
      <c r="AC40" s="11"/>
    </row>
    <row r="41">
      <c r="D41" s="9" t="s">
        <v>735</v>
      </c>
      <c r="E41" s="11" t="s">
        <v>736</v>
      </c>
      <c r="F41" s="11" t="s">
        <v>737</v>
      </c>
      <c r="G41" s="11" t="s">
        <v>738</v>
      </c>
      <c r="H41" s="11" t="s">
        <v>739</v>
      </c>
      <c r="I41" s="11" t="s">
        <v>15</v>
      </c>
      <c r="J41" s="11" t="s">
        <v>718</v>
      </c>
      <c r="K41" s="11" t="s">
        <v>740</v>
      </c>
      <c r="L41" s="11" t="s">
        <v>711</v>
      </c>
      <c r="M41" s="11" t="s">
        <v>720</v>
      </c>
      <c r="N41" s="11" t="s">
        <v>721</v>
      </c>
      <c r="O41" s="11" t="s">
        <v>722</v>
      </c>
      <c r="P41" s="11" t="s">
        <v>723</v>
      </c>
      <c r="Q41" s="11" t="s">
        <v>724</v>
      </c>
      <c r="R41" s="11" t="s">
        <v>20</v>
      </c>
      <c r="S41" s="11" t="s">
        <v>20</v>
      </c>
      <c r="T41" s="11" t="s">
        <v>725</v>
      </c>
      <c r="U41" s="11" t="s">
        <v>20</v>
      </c>
      <c r="V41" s="11" t="s">
        <v>20</v>
      </c>
      <c r="W41" s="11" t="s">
        <v>20</v>
      </c>
      <c r="X41" s="11" t="s">
        <v>726</v>
      </c>
      <c r="Y41" s="11"/>
      <c r="Z41" s="11"/>
      <c r="AA41" s="11"/>
      <c r="AB41" s="11"/>
      <c r="AC41" s="11"/>
    </row>
    <row r="42">
      <c r="A42" s="26" t="s">
        <v>741</v>
      </c>
      <c r="B42" s="26" t="s">
        <v>742</v>
      </c>
      <c r="C42" s="26" t="s">
        <v>538</v>
      </c>
      <c r="D42" s="4">
        <v>0.0</v>
      </c>
    </row>
    <row r="43">
      <c r="A43" s="26" t="s">
        <v>743</v>
      </c>
      <c r="B43" s="26" t="s">
        <v>744</v>
      </c>
      <c r="C43" s="26" t="s">
        <v>538</v>
      </c>
      <c r="D43" s="4">
        <v>0.0</v>
      </c>
    </row>
    <row r="44">
      <c r="A44" s="26" t="s">
        <v>745</v>
      </c>
      <c r="B44" s="26" t="s">
        <v>746</v>
      </c>
      <c r="C44" s="26" t="s">
        <v>538</v>
      </c>
      <c r="D44" s="9" t="s">
        <v>747</v>
      </c>
      <c r="E44" s="11" t="s">
        <v>748</v>
      </c>
      <c r="F44" s="11" t="s">
        <v>749</v>
      </c>
      <c r="G44" s="11" t="s">
        <v>750</v>
      </c>
      <c r="H44" s="11" t="s">
        <v>751</v>
      </c>
      <c r="I44" s="11" t="s">
        <v>15</v>
      </c>
      <c r="J44" s="11" t="s">
        <v>16</v>
      </c>
      <c r="K44" s="11" t="s">
        <v>752</v>
      </c>
      <c r="L44" s="11" t="s">
        <v>745</v>
      </c>
      <c r="M44" s="11" t="s">
        <v>753</v>
      </c>
      <c r="N44" s="11" t="s">
        <v>20</v>
      </c>
      <c r="O44" s="11" t="s">
        <v>754</v>
      </c>
      <c r="P44" s="11" t="s">
        <v>20</v>
      </c>
      <c r="Q44" s="11" t="s">
        <v>20</v>
      </c>
      <c r="R44" s="11" t="s">
        <v>20</v>
      </c>
      <c r="S44" s="11" t="s">
        <v>20</v>
      </c>
      <c r="T44" s="11" t="s">
        <v>623</v>
      </c>
      <c r="U44" s="11" t="s">
        <v>20</v>
      </c>
      <c r="V44" s="11" t="s">
        <v>20</v>
      </c>
      <c r="W44" s="11" t="s">
        <v>20</v>
      </c>
      <c r="X44" s="11" t="s">
        <v>755</v>
      </c>
      <c r="Y44" s="11"/>
      <c r="Z44" s="11"/>
      <c r="AA44" s="11"/>
      <c r="AB44" s="11"/>
      <c r="AC44" s="11"/>
    </row>
    <row r="45">
      <c r="A45" s="26" t="s">
        <v>756</v>
      </c>
      <c r="B45" s="26" t="s">
        <v>757</v>
      </c>
      <c r="C45" s="26" t="s">
        <v>758</v>
      </c>
      <c r="D45" s="8" t="s">
        <v>248</v>
      </c>
      <c r="E45" s="11" t="s">
        <v>249</v>
      </c>
      <c r="F45" s="11" t="s">
        <v>250</v>
      </c>
      <c r="G45" s="11" t="s">
        <v>251</v>
      </c>
      <c r="H45" s="11" t="s">
        <v>252</v>
      </c>
      <c r="I45" s="11" t="s">
        <v>15</v>
      </c>
      <c r="J45" s="11" t="s">
        <v>16</v>
      </c>
      <c r="K45" s="11" t="s">
        <v>253</v>
      </c>
      <c r="L45" s="11" t="s">
        <v>254</v>
      </c>
      <c r="M45" s="11" t="s">
        <v>255</v>
      </c>
      <c r="N45" s="11" t="s">
        <v>20</v>
      </c>
      <c r="O45" s="11" t="s">
        <v>256</v>
      </c>
      <c r="P45" s="11" t="s">
        <v>22</v>
      </c>
      <c r="Q45" s="11" t="s">
        <v>23</v>
      </c>
      <c r="R45" s="11" t="s">
        <v>20</v>
      </c>
      <c r="S45" s="11" t="s">
        <v>20</v>
      </c>
      <c r="T45" s="11" t="s">
        <v>24</v>
      </c>
      <c r="U45" s="11" t="s">
        <v>20</v>
      </c>
      <c r="V45" s="11" t="s">
        <v>20</v>
      </c>
      <c r="W45" s="11" t="s">
        <v>20</v>
      </c>
      <c r="X45" s="11" t="s">
        <v>257</v>
      </c>
      <c r="Y45" s="11"/>
    </row>
    <row r="46">
      <c r="A46" s="26" t="s">
        <v>325</v>
      </c>
      <c r="B46" s="26" t="s">
        <v>759</v>
      </c>
      <c r="C46" s="26" t="s">
        <v>538</v>
      </c>
      <c r="D46" s="9" t="s">
        <v>319</v>
      </c>
      <c r="E46" s="11" t="s">
        <v>320</v>
      </c>
      <c r="F46" s="11" t="s">
        <v>321</v>
      </c>
      <c r="G46" s="11" t="s">
        <v>322</v>
      </c>
      <c r="H46" s="11" t="s">
        <v>323</v>
      </c>
      <c r="I46" s="11" t="s">
        <v>15</v>
      </c>
      <c r="J46" s="11" t="s">
        <v>16</v>
      </c>
      <c r="K46" s="11" t="s">
        <v>324</v>
      </c>
      <c r="L46" s="11" t="s">
        <v>325</v>
      </c>
      <c r="M46" s="11" t="s">
        <v>326</v>
      </c>
      <c r="N46" s="11" t="s">
        <v>20</v>
      </c>
      <c r="O46" s="11" t="s">
        <v>327</v>
      </c>
      <c r="P46" s="11" t="s">
        <v>22</v>
      </c>
      <c r="Q46" s="11" t="s">
        <v>71</v>
      </c>
      <c r="R46" s="11" t="s">
        <v>20</v>
      </c>
      <c r="S46" s="11" t="s">
        <v>20</v>
      </c>
      <c r="T46" s="11" t="s">
        <v>24</v>
      </c>
      <c r="U46" s="11" t="s">
        <v>20</v>
      </c>
      <c r="V46" s="11" t="s">
        <v>20</v>
      </c>
      <c r="W46" s="11" t="s">
        <v>20</v>
      </c>
      <c r="X46" s="11" t="s">
        <v>328</v>
      </c>
    </row>
    <row r="47">
      <c r="A47" s="26" t="s">
        <v>760</v>
      </c>
      <c r="B47" s="26" t="s">
        <v>761</v>
      </c>
      <c r="C47" s="26" t="s">
        <v>538</v>
      </c>
      <c r="D47" s="4">
        <v>0.0</v>
      </c>
    </row>
    <row r="48">
      <c r="A48" s="26" t="s">
        <v>762</v>
      </c>
      <c r="B48" s="26" t="s">
        <v>763</v>
      </c>
      <c r="C48" s="26" t="s">
        <v>577</v>
      </c>
      <c r="D48" s="4">
        <v>0.0</v>
      </c>
    </row>
    <row r="49">
      <c r="A49" s="26" t="s">
        <v>420</v>
      </c>
      <c r="B49" s="26" t="s">
        <v>764</v>
      </c>
      <c r="C49" s="26" t="s">
        <v>538</v>
      </c>
      <c r="D49" s="9" t="s">
        <v>415</v>
      </c>
      <c r="E49" s="11" t="s">
        <v>416</v>
      </c>
      <c r="F49" s="11" t="s">
        <v>417</v>
      </c>
      <c r="G49" s="11" t="s">
        <v>418</v>
      </c>
      <c r="H49" s="11" t="s">
        <v>419</v>
      </c>
      <c r="I49" s="11" t="s">
        <v>15</v>
      </c>
      <c r="J49" s="11" t="s">
        <v>180</v>
      </c>
      <c r="K49" s="11" t="s">
        <v>17</v>
      </c>
      <c r="L49" s="11" t="s">
        <v>420</v>
      </c>
      <c r="M49" s="11" t="s">
        <v>348</v>
      </c>
      <c r="N49" s="11" t="s">
        <v>20</v>
      </c>
      <c r="O49" s="11" t="s">
        <v>421</v>
      </c>
      <c r="P49" s="11" t="s">
        <v>20</v>
      </c>
      <c r="Q49" s="11" t="s">
        <v>20</v>
      </c>
      <c r="R49" s="11" t="s">
        <v>20</v>
      </c>
      <c r="S49" s="11" t="s">
        <v>20</v>
      </c>
      <c r="T49" s="11" t="s">
        <v>140</v>
      </c>
      <c r="U49" s="11" t="s">
        <v>20</v>
      </c>
      <c r="V49" s="11" t="s">
        <v>20</v>
      </c>
      <c r="W49" s="11" t="s">
        <v>20</v>
      </c>
      <c r="X49" s="11" t="s">
        <v>422</v>
      </c>
    </row>
    <row r="50">
      <c r="A50" s="26" t="s">
        <v>412</v>
      </c>
      <c r="B50" s="26" t="s">
        <v>765</v>
      </c>
      <c r="C50" s="26" t="s">
        <v>538</v>
      </c>
      <c r="D50" s="10" t="s">
        <v>406</v>
      </c>
      <c r="E50" s="11" t="s">
        <v>407</v>
      </c>
      <c r="F50" s="11" t="s">
        <v>408</v>
      </c>
      <c r="G50" s="11" t="s">
        <v>409</v>
      </c>
      <c r="H50" s="11" t="s">
        <v>410</v>
      </c>
      <c r="I50" s="11" t="s">
        <v>15</v>
      </c>
      <c r="J50" s="11" t="s">
        <v>16</v>
      </c>
      <c r="K50" s="11" t="s">
        <v>411</v>
      </c>
      <c r="L50" s="11" t="s">
        <v>412</v>
      </c>
      <c r="M50" s="11" t="s">
        <v>348</v>
      </c>
      <c r="N50" s="11" t="s">
        <v>20</v>
      </c>
      <c r="O50" s="11" t="s">
        <v>413</v>
      </c>
      <c r="P50" s="11" t="s">
        <v>20</v>
      </c>
      <c r="Q50" s="11" t="s">
        <v>20</v>
      </c>
      <c r="R50" s="11" t="s">
        <v>20</v>
      </c>
      <c r="S50" s="11" t="s">
        <v>20</v>
      </c>
      <c r="T50" s="11" t="s">
        <v>111</v>
      </c>
      <c r="U50" s="11" t="s">
        <v>20</v>
      </c>
      <c r="V50" s="11" t="s">
        <v>20</v>
      </c>
      <c r="W50" s="11" t="s">
        <v>20</v>
      </c>
      <c r="X50" s="11" t="s">
        <v>141</v>
      </c>
      <c r="Y50" s="11"/>
    </row>
    <row r="51">
      <c r="A51" s="26" t="s">
        <v>100</v>
      </c>
      <c r="B51" s="26" t="s">
        <v>766</v>
      </c>
      <c r="C51" s="26" t="s">
        <v>591</v>
      </c>
      <c r="D51" s="9" t="s">
        <v>94</v>
      </c>
      <c r="E51" s="11" t="s">
        <v>95</v>
      </c>
      <c r="F51" s="11" t="s">
        <v>96</v>
      </c>
      <c r="G51" s="11" t="s">
        <v>97</v>
      </c>
      <c r="H51" s="11" t="s">
        <v>98</v>
      </c>
      <c r="I51" s="11" t="s">
        <v>15</v>
      </c>
      <c r="J51" s="11" t="s">
        <v>16</v>
      </c>
      <c r="K51" s="11" t="s">
        <v>99</v>
      </c>
      <c r="L51" s="11" t="s">
        <v>100</v>
      </c>
      <c r="M51" s="11" t="s">
        <v>91</v>
      </c>
      <c r="N51" s="11" t="s">
        <v>20</v>
      </c>
      <c r="O51" s="11" t="s">
        <v>92</v>
      </c>
      <c r="P51" s="11" t="s">
        <v>22</v>
      </c>
      <c r="Q51" s="11" t="s">
        <v>71</v>
      </c>
      <c r="R51" s="11" t="s">
        <v>20</v>
      </c>
      <c r="S51" s="11" t="s">
        <v>20</v>
      </c>
      <c r="T51" s="11" t="s">
        <v>24</v>
      </c>
      <c r="U51" s="11" t="s">
        <v>20</v>
      </c>
      <c r="V51" s="11" t="s">
        <v>20</v>
      </c>
      <c r="W51" s="11" t="s">
        <v>20</v>
      </c>
      <c r="X51" s="11" t="s">
        <v>93</v>
      </c>
    </row>
    <row r="52">
      <c r="A52" s="26" t="s">
        <v>194</v>
      </c>
      <c r="B52" s="26" t="s">
        <v>767</v>
      </c>
      <c r="C52" s="26" t="s">
        <v>577</v>
      </c>
      <c r="D52" s="9" t="s">
        <v>188</v>
      </c>
      <c r="E52" s="11" t="s">
        <v>189</v>
      </c>
      <c r="F52" s="11" t="s">
        <v>190</v>
      </c>
      <c r="G52" s="11" t="s">
        <v>191</v>
      </c>
      <c r="H52" s="11" t="s">
        <v>192</v>
      </c>
      <c r="I52" s="11" t="s">
        <v>15</v>
      </c>
      <c r="J52" s="11" t="s">
        <v>16</v>
      </c>
      <c r="K52" s="11" t="s">
        <v>193</v>
      </c>
      <c r="L52" s="11" t="s">
        <v>194</v>
      </c>
      <c r="M52" s="11" t="s">
        <v>19</v>
      </c>
      <c r="N52" s="11" t="s">
        <v>20</v>
      </c>
      <c r="O52" s="11" t="s">
        <v>195</v>
      </c>
      <c r="P52" s="11" t="s">
        <v>22</v>
      </c>
      <c r="Q52" s="11" t="s">
        <v>23</v>
      </c>
      <c r="R52" s="11" t="s">
        <v>20</v>
      </c>
      <c r="S52" s="11" t="s">
        <v>20</v>
      </c>
      <c r="T52" s="11" t="s">
        <v>24</v>
      </c>
      <c r="U52" s="11" t="s">
        <v>20</v>
      </c>
      <c r="V52" s="11" t="s">
        <v>20</v>
      </c>
      <c r="W52" s="11" t="s">
        <v>20</v>
      </c>
      <c r="X52" s="11" t="s">
        <v>196</v>
      </c>
      <c r="Y52" s="11"/>
    </row>
    <row r="53">
      <c r="A53" s="26" t="s">
        <v>220</v>
      </c>
      <c r="B53" s="26" t="s">
        <v>768</v>
      </c>
      <c r="C53" s="26" t="s">
        <v>538</v>
      </c>
      <c r="D53" s="9" t="s">
        <v>214</v>
      </c>
      <c r="E53" s="11" t="s">
        <v>215</v>
      </c>
      <c r="F53" s="11" t="s">
        <v>216</v>
      </c>
      <c r="G53" s="11" t="s">
        <v>217</v>
      </c>
      <c r="H53" s="11" t="s">
        <v>218</v>
      </c>
      <c r="I53" s="11" t="s">
        <v>15</v>
      </c>
      <c r="J53" s="11" t="s">
        <v>16</v>
      </c>
      <c r="K53" s="11" t="s">
        <v>219</v>
      </c>
      <c r="L53" s="11" t="s">
        <v>220</v>
      </c>
      <c r="M53" s="11" t="s">
        <v>221</v>
      </c>
      <c r="N53" s="11" t="s">
        <v>20</v>
      </c>
      <c r="O53" s="11" t="s">
        <v>222</v>
      </c>
      <c r="P53" s="11" t="s">
        <v>22</v>
      </c>
      <c r="Q53" s="11" t="s">
        <v>23</v>
      </c>
      <c r="R53" s="11" t="s">
        <v>20</v>
      </c>
      <c r="S53" s="11" t="s">
        <v>20</v>
      </c>
      <c r="T53" s="11" t="s">
        <v>24</v>
      </c>
      <c r="U53" s="11" t="s">
        <v>20</v>
      </c>
      <c r="V53" s="11" t="s">
        <v>20</v>
      </c>
      <c r="W53" s="11" t="s">
        <v>20</v>
      </c>
      <c r="X53" s="11" t="s">
        <v>223</v>
      </c>
    </row>
    <row r="54">
      <c r="A54" s="26" t="s">
        <v>769</v>
      </c>
      <c r="B54" s="26" t="s">
        <v>770</v>
      </c>
      <c r="C54" s="26" t="s">
        <v>577</v>
      </c>
      <c r="D54" s="9" t="s">
        <v>771</v>
      </c>
      <c r="E54" s="11" t="s">
        <v>772</v>
      </c>
      <c r="F54" s="11" t="s">
        <v>773</v>
      </c>
      <c r="G54" s="11" t="s">
        <v>774</v>
      </c>
      <c r="H54" s="11" t="s">
        <v>775</v>
      </c>
      <c r="I54" s="11" t="s">
        <v>15</v>
      </c>
      <c r="J54" s="11" t="s">
        <v>776</v>
      </c>
      <c r="K54" s="11" t="s">
        <v>777</v>
      </c>
      <c r="L54" s="11" t="s">
        <v>769</v>
      </c>
      <c r="M54" s="11" t="s">
        <v>778</v>
      </c>
      <c r="N54" s="11" t="s">
        <v>20</v>
      </c>
      <c r="O54" s="11" t="s">
        <v>779</v>
      </c>
      <c r="P54" s="11" t="s">
        <v>780</v>
      </c>
      <c r="Q54" s="11" t="s">
        <v>20</v>
      </c>
      <c r="R54" s="11" t="s">
        <v>20</v>
      </c>
      <c r="S54" s="11" t="s">
        <v>20</v>
      </c>
      <c r="T54" s="11" t="s">
        <v>781</v>
      </c>
      <c r="U54" s="11" t="s">
        <v>20</v>
      </c>
      <c r="V54" s="11" t="s">
        <v>20</v>
      </c>
      <c r="W54" s="11" t="s">
        <v>20</v>
      </c>
      <c r="X54" s="11" t="s">
        <v>782</v>
      </c>
      <c r="Y54" s="11"/>
      <c r="Z54" s="11"/>
      <c r="AA54" s="11"/>
      <c r="AB54" s="11"/>
      <c r="AC54" s="11"/>
    </row>
    <row r="55">
      <c r="D55" s="9" t="s">
        <v>783</v>
      </c>
      <c r="E55" s="11" t="s">
        <v>784</v>
      </c>
      <c r="F55" s="11" t="s">
        <v>376</v>
      </c>
      <c r="G55" s="14">
        <v>46263.0</v>
      </c>
      <c r="H55" s="11" t="s">
        <v>775</v>
      </c>
      <c r="I55" s="11" t="s">
        <v>15</v>
      </c>
      <c r="J55" s="11" t="s">
        <v>776</v>
      </c>
      <c r="K55" s="11" t="s">
        <v>777</v>
      </c>
      <c r="L55" s="11" t="s">
        <v>769</v>
      </c>
      <c r="M55" s="11" t="s">
        <v>778</v>
      </c>
      <c r="N55" s="11" t="s">
        <v>20</v>
      </c>
      <c r="O55" s="11" t="s">
        <v>779</v>
      </c>
      <c r="P55" s="11" t="s">
        <v>780</v>
      </c>
      <c r="Q55" s="11" t="s">
        <v>20</v>
      </c>
      <c r="R55" s="11" t="s">
        <v>20</v>
      </c>
      <c r="S55" s="11" t="s">
        <v>20</v>
      </c>
      <c r="T55" s="11" t="s">
        <v>781</v>
      </c>
      <c r="U55" s="11" t="s">
        <v>20</v>
      </c>
      <c r="V55" s="11" t="s">
        <v>20</v>
      </c>
      <c r="W55" s="11" t="s">
        <v>20</v>
      </c>
      <c r="X55" s="11" t="s">
        <v>782</v>
      </c>
      <c r="Y55" s="11"/>
      <c r="Z55" s="11"/>
      <c r="AA55" s="11"/>
      <c r="AB55" s="11"/>
      <c r="AC55" s="11"/>
    </row>
    <row r="56">
      <c r="A56" s="26" t="s">
        <v>366</v>
      </c>
      <c r="B56" s="26" t="s">
        <v>785</v>
      </c>
      <c r="C56" s="26" t="s">
        <v>538</v>
      </c>
      <c r="D56" s="9" t="s">
        <v>361</v>
      </c>
      <c r="E56" s="11" t="s">
        <v>362</v>
      </c>
      <c r="F56" s="11" t="s">
        <v>363</v>
      </c>
      <c r="G56" s="11" t="s">
        <v>364</v>
      </c>
      <c r="H56" s="11" t="s">
        <v>365</v>
      </c>
      <c r="I56" s="11" t="s">
        <v>15</v>
      </c>
      <c r="J56" s="11" t="s">
        <v>16</v>
      </c>
      <c r="K56" s="11" t="s">
        <v>17</v>
      </c>
      <c r="L56" s="11" t="s">
        <v>366</v>
      </c>
      <c r="M56" s="11" t="s">
        <v>367</v>
      </c>
      <c r="N56" s="11" t="s">
        <v>20</v>
      </c>
      <c r="O56" s="11" t="s">
        <v>368</v>
      </c>
      <c r="P56" s="11" t="s">
        <v>22</v>
      </c>
      <c r="Q56" s="11" t="s">
        <v>23</v>
      </c>
      <c r="R56" s="11" t="s">
        <v>20</v>
      </c>
      <c r="S56" s="11" t="s">
        <v>20</v>
      </c>
      <c r="T56" s="11" t="s">
        <v>24</v>
      </c>
      <c r="U56" s="11" t="s">
        <v>20</v>
      </c>
      <c r="V56" s="11" t="s">
        <v>20</v>
      </c>
      <c r="W56" s="11" t="s">
        <v>20</v>
      </c>
      <c r="X56" s="11" t="s">
        <v>369</v>
      </c>
      <c r="Y56" s="11"/>
      <c r="Z56" s="11"/>
      <c r="AA56" s="11"/>
      <c r="AB56" s="11"/>
      <c r="AC56" s="11"/>
    </row>
    <row r="57">
      <c r="A57" s="26" t="s">
        <v>786</v>
      </c>
      <c r="B57" s="26" t="s">
        <v>787</v>
      </c>
      <c r="C57" s="27"/>
      <c r="D57" s="9" t="s">
        <v>788</v>
      </c>
      <c r="E57" s="11" t="s">
        <v>789</v>
      </c>
      <c r="F57" s="11" t="s">
        <v>790</v>
      </c>
      <c r="G57" s="11" t="s">
        <v>791</v>
      </c>
      <c r="H57" s="11" t="s">
        <v>792</v>
      </c>
      <c r="I57" s="11" t="s">
        <v>15</v>
      </c>
      <c r="J57" s="11" t="s">
        <v>583</v>
      </c>
      <c r="K57" s="11" t="s">
        <v>793</v>
      </c>
      <c r="L57" s="11" t="s">
        <v>786</v>
      </c>
      <c r="M57" s="11" t="s">
        <v>794</v>
      </c>
      <c r="N57" s="11" t="s">
        <v>20</v>
      </c>
      <c r="O57" s="11" t="s">
        <v>795</v>
      </c>
      <c r="P57" s="11" t="s">
        <v>20</v>
      </c>
      <c r="Q57" s="11" t="s">
        <v>20</v>
      </c>
      <c r="R57" s="11" t="s">
        <v>20</v>
      </c>
      <c r="S57" s="11" t="s">
        <v>20</v>
      </c>
      <c r="T57" s="11" t="s">
        <v>185</v>
      </c>
      <c r="U57" s="11" t="s">
        <v>20</v>
      </c>
      <c r="V57" s="11" t="s">
        <v>20</v>
      </c>
      <c r="W57" s="11" t="s">
        <v>20</v>
      </c>
      <c r="X57" s="11" t="s">
        <v>796</v>
      </c>
      <c r="Y57" s="11"/>
      <c r="Z57" s="11"/>
      <c r="AA57" s="11"/>
      <c r="AB57" s="11"/>
      <c r="AC57" s="11"/>
    </row>
    <row r="58">
      <c r="A58" s="26" t="s">
        <v>797</v>
      </c>
      <c r="B58" s="26" t="s">
        <v>798</v>
      </c>
      <c r="C58" s="26" t="s">
        <v>538</v>
      </c>
      <c r="D58" s="4">
        <v>0.0</v>
      </c>
    </row>
    <row r="59">
      <c r="A59" s="26" t="s">
        <v>799</v>
      </c>
      <c r="B59" s="26" t="s">
        <v>800</v>
      </c>
      <c r="C59" s="26" t="s">
        <v>538</v>
      </c>
      <c r="D59" s="9" t="s">
        <v>330</v>
      </c>
      <c r="E59" s="11" t="s">
        <v>331</v>
      </c>
      <c r="F59" s="11" t="s">
        <v>332</v>
      </c>
      <c r="G59" s="11" t="s">
        <v>333</v>
      </c>
      <c r="H59" s="11" t="s">
        <v>334</v>
      </c>
      <c r="I59" s="11" t="s">
        <v>15</v>
      </c>
      <c r="J59" s="11" t="s">
        <v>16</v>
      </c>
      <c r="K59" s="11" t="s">
        <v>335</v>
      </c>
      <c r="L59" s="11" t="s">
        <v>336</v>
      </c>
      <c r="M59" s="11" t="s">
        <v>337</v>
      </c>
      <c r="N59" s="11" t="s">
        <v>20</v>
      </c>
      <c r="O59" s="11" t="s">
        <v>338</v>
      </c>
      <c r="P59" s="11" t="s">
        <v>22</v>
      </c>
      <c r="Q59" s="11" t="s">
        <v>71</v>
      </c>
      <c r="R59" s="11" t="s">
        <v>20</v>
      </c>
      <c r="S59" s="11" t="s">
        <v>20</v>
      </c>
      <c r="T59" s="11" t="s">
        <v>24</v>
      </c>
      <c r="U59" s="11" t="s">
        <v>20</v>
      </c>
      <c r="V59" s="11" t="s">
        <v>20</v>
      </c>
      <c r="W59" s="11" t="s">
        <v>20</v>
      </c>
      <c r="X59" s="11" t="s">
        <v>339</v>
      </c>
    </row>
    <row r="60">
      <c r="A60" s="26" t="s">
        <v>801</v>
      </c>
      <c r="B60" s="26" t="s">
        <v>802</v>
      </c>
      <c r="C60" s="26" t="s">
        <v>538</v>
      </c>
      <c r="D60" s="4">
        <v>0.0</v>
      </c>
    </row>
    <row r="61">
      <c r="A61" s="26" t="s">
        <v>803</v>
      </c>
      <c r="B61" s="26" t="s">
        <v>804</v>
      </c>
      <c r="C61" s="26" t="s">
        <v>538</v>
      </c>
      <c r="D61" s="9" t="s">
        <v>805</v>
      </c>
      <c r="E61" s="11" t="s">
        <v>806</v>
      </c>
      <c r="F61" s="11" t="s">
        <v>807</v>
      </c>
      <c r="G61" s="11" t="s">
        <v>808</v>
      </c>
      <c r="H61" s="11" t="s">
        <v>809</v>
      </c>
      <c r="I61" s="11" t="s">
        <v>15</v>
      </c>
      <c r="J61" s="11" t="s">
        <v>16</v>
      </c>
      <c r="K61" s="11" t="s">
        <v>810</v>
      </c>
      <c r="L61" s="11" t="s">
        <v>803</v>
      </c>
      <c r="M61" s="11" t="s">
        <v>811</v>
      </c>
      <c r="N61" s="11" t="s">
        <v>812</v>
      </c>
      <c r="O61" s="11" t="s">
        <v>813</v>
      </c>
      <c r="P61" s="11" t="s">
        <v>814</v>
      </c>
      <c r="Q61" s="11" t="s">
        <v>20</v>
      </c>
      <c r="R61" s="11" t="s">
        <v>815</v>
      </c>
      <c r="S61" s="11" t="s">
        <v>816</v>
      </c>
      <c r="T61" s="11" t="s">
        <v>605</v>
      </c>
      <c r="U61" s="11" t="s">
        <v>20</v>
      </c>
      <c r="V61" s="11" t="s">
        <v>20</v>
      </c>
      <c r="W61" s="11" t="s">
        <v>20</v>
      </c>
      <c r="X61" s="11" t="s">
        <v>817</v>
      </c>
      <c r="Y61" s="11"/>
      <c r="Z61" s="11"/>
      <c r="AA61" s="11"/>
      <c r="AB61" s="11"/>
      <c r="AC61" s="11"/>
    </row>
    <row r="62">
      <c r="A62" s="26" t="s">
        <v>303</v>
      </c>
      <c r="B62" s="26" t="s">
        <v>818</v>
      </c>
      <c r="C62" s="26" t="s">
        <v>538</v>
      </c>
      <c r="D62" s="9" t="s">
        <v>297</v>
      </c>
      <c r="E62" s="11" t="s">
        <v>298</v>
      </c>
      <c r="F62" s="11" t="s">
        <v>299</v>
      </c>
      <c r="G62" s="11" t="s">
        <v>300</v>
      </c>
      <c r="H62" s="11" t="s">
        <v>301</v>
      </c>
      <c r="I62" s="11" t="s">
        <v>15</v>
      </c>
      <c r="J62" s="11" t="s">
        <v>16</v>
      </c>
      <c r="K62" s="11" t="s">
        <v>302</v>
      </c>
      <c r="L62" s="11" t="s">
        <v>303</v>
      </c>
      <c r="M62" s="11" t="s">
        <v>304</v>
      </c>
      <c r="N62" s="11" t="s">
        <v>20</v>
      </c>
      <c r="O62" s="11" t="s">
        <v>305</v>
      </c>
      <c r="P62" s="11" t="s">
        <v>22</v>
      </c>
      <c r="Q62" s="11" t="s">
        <v>71</v>
      </c>
      <c r="R62" s="11" t="s">
        <v>20</v>
      </c>
      <c r="S62" s="11" t="s">
        <v>20</v>
      </c>
      <c r="T62" s="11" t="s">
        <v>24</v>
      </c>
      <c r="U62" s="11" t="s">
        <v>20</v>
      </c>
      <c r="V62" s="11" t="s">
        <v>20</v>
      </c>
      <c r="W62" s="11" t="s">
        <v>20</v>
      </c>
      <c r="X62" s="11" t="s">
        <v>306</v>
      </c>
    </row>
    <row r="63">
      <c r="A63" s="26" t="s">
        <v>347</v>
      </c>
      <c r="B63" s="26" t="s">
        <v>819</v>
      </c>
      <c r="C63" s="26" t="s">
        <v>708</v>
      </c>
      <c r="D63" s="9" t="s">
        <v>341</v>
      </c>
      <c r="E63" s="11" t="s">
        <v>342</v>
      </c>
      <c r="F63" s="11" t="s">
        <v>343</v>
      </c>
      <c r="G63" s="11" t="s">
        <v>344</v>
      </c>
      <c r="H63" s="11" t="s">
        <v>345</v>
      </c>
      <c r="I63" s="11" t="s">
        <v>15</v>
      </c>
      <c r="J63" s="11" t="s">
        <v>16</v>
      </c>
      <c r="K63" s="11" t="s">
        <v>346</v>
      </c>
      <c r="L63" s="11" t="s">
        <v>347</v>
      </c>
      <c r="M63" s="11" t="s">
        <v>348</v>
      </c>
      <c r="N63" s="11" t="s">
        <v>20</v>
      </c>
      <c r="O63" s="11" t="s">
        <v>349</v>
      </c>
      <c r="P63" s="11" t="s">
        <v>22</v>
      </c>
      <c r="Q63" s="11" t="s">
        <v>71</v>
      </c>
      <c r="R63" s="11" t="s">
        <v>20</v>
      </c>
      <c r="S63" s="11" t="s">
        <v>20</v>
      </c>
      <c r="T63" s="11" t="s">
        <v>24</v>
      </c>
      <c r="U63" s="11" t="s">
        <v>20</v>
      </c>
      <c r="V63" s="11" t="s">
        <v>20</v>
      </c>
      <c r="W63" s="11" t="s">
        <v>20</v>
      </c>
      <c r="X63" s="11" t="s">
        <v>350</v>
      </c>
      <c r="Y63" s="11"/>
    </row>
    <row r="64">
      <c r="A64" s="26" t="s">
        <v>109</v>
      </c>
      <c r="B64" s="26" t="s">
        <v>820</v>
      </c>
      <c r="C64" s="26" t="s">
        <v>538</v>
      </c>
      <c r="D64" s="9" t="s">
        <v>103</v>
      </c>
      <c r="E64" s="11" t="s">
        <v>104</v>
      </c>
      <c r="F64" s="11" t="s">
        <v>105</v>
      </c>
      <c r="G64" s="11" t="s">
        <v>106</v>
      </c>
      <c r="H64" s="11" t="s">
        <v>107</v>
      </c>
      <c r="I64" s="11" t="s">
        <v>15</v>
      </c>
      <c r="J64" s="11" t="s">
        <v>16</v>
      </c>
      <c r="K64" s="11" t="s">
        <v>108</v>
      </c>
      <c r="L64" s="11" t="s">
        <v>109</v>
      </c>
      <c r="M64" s="11" t="s">
        <v>19</v>
      </c>
      <c r="N64" s="11" t="s">
        <v>20</v>
      </c>
      <c r="O64" s="11" t="s">
        <v>110</v>
      </c>
      <c r="P64" s="11" t="s">
        <v>20</v>
      </c>
      <c r="Q64" s="11" t="s">
        <v>20</v>
      </c>
      <c r="R64" s="11" t="s">
        <v>20</v>
      </c>
      <c r="S64" s="11" t="s">
        <v>20</v>
      </c>
      <c r="T64" s="11" t="s">
        <v>111</v>
      </c>
      <c r="U64" s="11" t="s">
        <v>20</v>
      </c>
      <c r="V64" s="11" t="s">
        <v>20</v>
      </c>
      <c r="W64" s="11" t="s">
        <v>20</v>
      </c>
      <c r="X64" s="11" t="s">
        <v>112</v>
      </c>
      <c r="Y64" s="11"/>
      <c r="Z64" s="11"/>
      <c r="AA64" s="11"/>
      <c r="AB64" s="11"/>
      <c r="AC64" s="11"/>
    </row>
    <row r="65">
      <c r="A65" s="26" t="s">
        <v>231</v>
      </c>
      <c r="B65" s="26" t="s">
        <v>821</v>
      </c>
      <c r="C65" s="26" t="s">
        <v>758</v>
      </c>
      <c r="D65" s="9" t="s">
        <v>225</v>
      </c>
      <c r="E65" s="11" t="s">
        <v>226</v>
      </c>
      <c r="F65" s="11" t="s">
        <v>227</v>
      </c>
      <c r="G65" s="11" t="s">
        <v>228</v>
      </c>
      <c r="H65" s="11" t="s">
        <v>229</v>
      </c>
      <c r="I65" s="11" t="s">
        <v>15</v>
      </c>
      <c r="J65" s="11" t="s">
        <v>16</v>
      </c>
      <c r="K65" s="11" t="s">
        <v>230</v>
      </c>
      <c r="L65" s="11" t="s">
        <v>231</v>
      </c>
      <c r="M65" s="11" t="s">
        <v>232</v>
      </c>
      <c r="N65" s="11" t="s">
        <v>20</v>
      </c>
      <c r="O65" s="11" t="s">
        <v>233</v>
      </c>
      <c r="P65" s="11" t="s">
        <v>22</v>
      </c>
      <c r="Q65" s="11" t="s">
        <v>71</v>
      </c>
      <c r="R65" s="11" t="s">
        <v>20</v>
      </c>
      <c r="S65" s="11" t="s">
        <v>20</v>
      </c>
      <c r="T65" s="11" t="s">
        <v>24</v>
      </c>
      <c r="U65" s="11" t="s">
        <v>20</v>
      </c>
      <c r="V65" s="11" t="s">
        <v>20</v>
      </c>
      <c r="W65" s="11" t="s">
        <v>20</v>
      </c>
      <c r="X65" s="11" t="s">
        <v>234</v>
      </c>
    </row>
    <row r="66">
      <c r="A66" s="26" t="s">
        <v>57</v>
      </c>
      <c r="B66" s="26" t="s">
        <v>822</v>
      </c>
      <c r="C66" s="26" t="s">
        <v>538</v>
      </c>
      <c r="D66" s="9" t="s">
        <v>51</v>
      </c>
      <c r="E66" s="11" t="s">
        <v>52</v>
      </c>
      <c r="F66" s="11" t="s">
        <v>53</v>
      </c>
      <c r="G66" s="11" t="s">
        <v>54</v>
      </c>
      <c r="H66" s="11" t="s">
        <v>55</v>
      </c>
      <c r="I66" s="11" t="s">
        <v>15</v>
      </c>
      <c r="J66" s="11" t="s">
        <v>16</v>
      </c>
      <c r="K66" s="11" t="s">
        <v>56</v>
      </c>
      <c r="L66" s="11" t="s">
        <v>57</v>
      </c>
      <c r="M66" s="11" t="s">
        <v>19</v>
      </c>
      <c r="N66" s="11" t="s">
        <v>20</v>
      </c>
      <c r="O66" s="11" t="s">
        <v>58</v>
      </c>
      <c r="P66" s="11" t="s">
        <v>22</v>
      </c>
      <c r="Q66" s="11" t="s">
        <v>23</v>
      </c>
      <c r="R66" s="11" t="s">
        <v>20</v>
      </c>
      <c r="S66" s="11" t="s">
        <v>20</v>
      </c>
      <c r="T66" s="11" t="s">
        <v>24</v>
      </c>
      <c r="U66" s="11" t="s">
        <v>20</v>
      </c>
      <c r="V66" s="11" t="s">
        <v>20</v>
      </c>
      <c r="W66" s="11" t="s">
        <v>20</v>
      </c>
      <c r="X66" s="11" t="s">
        <v>59</v>
      </c>
    </row>
    <row r="67">
      <c r="A67" s="26" t="s">
        <v>823</v>
      </c>
      <c r="B67" s="26" t="s">
        <v>824</v>
      </c>
      <c r="C67" s="27"/>
      <c r="D67" s="9" t="s">
        <v>825</v>
      </c>
      <c r="E67" s="11" t="s">
        <v>826</v>
      </c>
      <c r="F67" s="11" t="s">
        <v>827</v>
      </c>
      <c r="G67" s="11" t="s">
        <v>828</v>
      </c>
      <c r="H67" s="11" t="s">
        <v>829</v>
      </c>
      <c r="I67" s="11" t="s">
        <v>15</v>
      </c>
      <c r="J67" s="11" t="s">
        <v>180</v>
      </c>
      <c r="K67" s="11" t="s">
        <v>830</v>
      </c>
      <c r="L67" s="11" t="s">
        <v>823</v>
      </c>
      <c r="M67" s="11" t="s">
        <v>831</v>
      </c>
      <c r="N67" s="11" t="s">
        <v>20</v>
      </c>
      <c r="O67" s="11" t="s">
        <v>832</v>
      </c>
      <c r="P67" s="11" t="s">
        <v>20</v>
      </c>
      <c r="Q67" s="11" t="s">
        <v>20</v>
      </c>
      <c r="R67" s="11" t="s">
        <v>20</v>
      </c>
      <c r="S67" s="11" t="s">
        <v>20</v>
      </c>
      <c r="T67" s="11" t="s">
        <v>550</v>
      </c>
      <c r="U67" s="11" t="s">
        <v>20</v>
      </c>
      <c r="V67" s="11" t="s">
        <v>20</v>
      </c>
      <c r="W67" s="11" t="s">
        <v>20</v>
      </c>
      <c r="X67" s="11" t="s">
        <v>833</v>
      </c>
      <c r="Y67" s="11"/>
      <c r="Z67" s="11"/>
      <c r="AA67" s="11"/>
      <c r="AB67" s="11"/>
      <c r="AC67" s="11"/>
    </row>
    <row r="68">
      <c r="D68" s="9" t="s">
        <v>834</v>
      </c>
      <c r="E68" s="11" t="s">
        <v>835</v>
      </c>
      <c r="F68" s="11" t="s">
        <v>836</v>
      </c>
      <c r="G68" s="11" t="s">
        <v>837</v>
      </c>
      <c r="H68" s="11" t="s">
        <v>838</v>
      </c>
      <c r="I68" s="11" t="s">
        <v>15</v>
      </c>
      <c r="J68" s="11" t="s">
        <v>180</v>
      </c>
      <c r="K68" s="11" t="s">
        <v>839</v>
      </c>
      <c r="L68" s="11" t="s">
        <v>823</v>
      </c>
      <c r="M68" s="11" t="s">
        <v>831</v>
      </c>
      <c r="N68" s="11" t="s">
        <v>20</v>
      </c>
      <c r="O68" s="11" t="s">
        <v>832</v>
      </c>
      <c r="P68" s="11" t="s">
        <v>20</v>
      </c>
      <c r="Q68" s="11" t="s">
        <v>20</v>
      </c>
      <c r="R68" s="11" t="s">
        <v>20</v>
      </c>
      <c r="S68" s="11" t="s">
        <v>20</v>
      </c>
      <c r="T68" s="11" t="s">
        <v>550</v>
      </c>
      <c r="U68" s="11" t="s">
        <v>20</v>
      </c>
      <c r="V68" s="11" t="s">
        <v>20</v>
      </c>
      <c r="W68" s="11" t="s">
        <v>20</v>
      </c>
      <c r="X68" s="11" t="s">
        <v>833</v>
      </c>
      <c r="Y68" s="11"/>
      <c r="Z68" s="11"/>
      <c r="AA68" s="11"/>
      <c r="AB68" s="11"/>
      <c r="AC68" s="11"/>
    </row>
    <row r="69">
      <c r="A69" s="26" t="s">
        <v>149</v>
      </c>
      <c r="B69" s="26" t="s">
        <v>840</v>
      </c>
      <c r="C69" s="26" t="s">
        <v>538</v>
      </c>
      <c r="D69" s="9" t="s">
        <v>143</v>
      </c>
      <c r="E69" s="11" t="s">
        <v>144</v>
      </c>
      <c r="F69" s="11" t="s">
        <v>145</v>
      </c>
      <c r="G69" s="11" t="s">
        <v>146</v>
      </c>
      <c r="H69" s="11" t="s">
        <v>147</v>
      </c>
      <c r="I69" s="11" t="s">
        <v>15</v>
      </c>
      <c r="J69" s="11" t="s">
        <v>16</v>
      </c>
      <c r="K69" s="11" t="s">
        <v>148</v>
      </c>
      <c r="L69" s="11" t="s">
        <v>149</v>
      </c>
      <c r="M69" s="11" t="s">
        <v>150</v>
      </c>
      <c r="N69" s="11" t="s">
        <v>20</v>
      </c>
      <c r="O69" s="11" t="s">
        <v>151</v>
      </c>
      <c r="P69" s="11" t="s">
        <v>20</v>
      </c>
      <c r="Q69" s="11" t="s">
        <v>20</v>
      </c>
      <c r="R69" s="11" t="s">
        <v>20</v>
      </c>
      <c r="S69" s="11" t="s">
        <v>20</v>
      </c>
      <c r="T69" s="11" t="s">
        <v>140</v>
      </c>
      <c r="U69" s="11" t="s">
        <v>20</v>
      </c>
      <c r="V69" s="11" t="s">
        <v>20</v>
      </c>
      <c r="W69" s="11" t="s">
        <v>20</v>
      </c>
      <c r="X69" s="11" t="s">
        <v>152</v>
      </c>
    </row>
    <row r="70">
      <c r="A70" s="26" t="s">
        <v>841</v>
      </c>
      <c r="B70" s="26" t="s">
        <v>842</v>
      </c>
      <c r="C70" s="26" t="s">
        <v>591</v>
      </c>
      <c r="D70" s="9" t="s">
        <v>843</v>
      </c>
      <c r="E70" s="11" t="s">
        <v>844</v>
      </c>
      <c r="F70" s="11" t="s">
        <v>845</v>
      </c>
      <c r="G70" s="11" t="s">
        <v>846</v>
      </c>
      <c r="H70" s="11" t="s">
        <v>847</v>
      </c>
      <c r="I70" s="11" t="s">
        <v>15</v>
      </c>
      <c r="J70" s="11" t="s">
        <v>16</v>
      </c>
      <c r="K70" s="11" t="s">
        <v>848</v>
      </c>
      <c r="L70" s="11" t="s">
        <v>841</v>
      </c>
      <c r="M70" s="11" t="s">
        <v>849</v>
      </c>
      <c r="N70" s="11" t="s">
        <v>20</v>
      </c>
      <c r="O70" s="11" t="s">
        <v>850</v>
      </c>
      <c r="P70" s="11" t="s">
        <v>20</v>
      </c>
      <c r="Q70" s="11" t="s">
        <v>20</v>
      </c>
      <c r="R70" s="11" t="s">
        <v>20</v>
      </c>
      <c r="S70" s="11" t="s">
        <v>20</v>
      </c>
      <c r="T70" s="11" t="s">
        <v>851</v>
      </c>
      <c r="U70" s="11" t="s">
        <v>20</v>
      </c>
      <c r="V70" s="11" t="s">
        <v>20</v>
      </c>
      <c r="W70" s="11" t="s">
        <v>20</v>
      </c>
      <c r="X70" s="11" t="s">
        <v>852</v>
      </c>
      <c r="Y70" s="11"/>
      <c r="Z70" s="11"/>
      <c r="AA70" s="11"/>
      <c r="AB70" s="11"/>
      <c r="AC70" s="11"/>
    </row>
    <row r="71">
      <c r="A71" s="26" t="s">
        <v>90</v>
      </c>
      <c r="B71" s="26" t="s">
        <v>853</v>
      </c>
      <c r="C71" s="26" t="s">
        <v>694</v>
      </c>
      <c r="D71" s="9" t="s">
        <v>85</v>
      </c>
      <c r="E71" s="11" t="s">
        <v>86</v>
      </c>
      <c r="F71" s="11" t="s">
        <v>87</v>
      </c>
      <c r="G71" s="11" t="s">
        <v>88</v>
      </c>
      <c r="H71" s="11" t="s">
        <v>89</v>
      </c>
      <c r="I71" s="11" t="s">
        <v>15</v>
      </c>
      <c r="J71" s="11" t="s">
        <v>16</v>
      </c>
      <c r="K71" s="11" t="s">
        <v>17</v>
      </c>
      <c r="L71" s="11" t="s">
        <v>90</v>
      </c>
      <c r="M71" s="11" t="s">
        <v>91</v>
      </c>
      <c r="N71" s="11" t="s">
        <v>20</v>
      </c>
      <c r="O71" s="11" t="s">
        <v>92</v>
      </c>
      <c r="P71" s="11" t="s">
        <v>22</v>
      </c>
      <c r="Q71" s="11" t="s">
        <v>71</v>
      </c>
      <c r="R71" s="11" t="s">
        <v>20</v>
      </c>
      <c r="S71" s="11" t="s">
        <v>20</v>
      </c>
      <c r="T71" s="11" t="s">
        <v>24</v>
      </c>
      <c r="U71" s="11" t="s">
        <v>20</v>
      </c>
      <c r="V71" s="11" t="s">
        <v>20</v>
      </c>
      <c r="W71" s="11" t="s">
        <v>20</v>
      </c>
      <c r="X71" s="11" t="s">
        <v>93</v>
      </c>
    </row>
    <row r="72">
      <c r="A72" s="26" t="s">
        <v>314</v>
      </c>
      <c r="B72" s="26" t="s">
        <v>854</v>
      </c>
      <c r="C72" s="26" t="s">
        <v>538</v>
      </c>
      <c r="D72" s="9" t="s">
        <v>308</v>
      </c>
      <c r="E72" s="11" t="s">
        <v>309</v>
      </c>
      <c r="F72" s="11" t="s">
        <v>310</v>
      </c>
      <c r="G72" s="11" t="s">
        <v>311</v>
      </c>
      <c r="H72" s="11" t="s">
        <v>312</v>
      </c>
      <c r="I72" s="11" t="s">
        <v>15</v>
      </c>
      <c r="J72" s="11" t="s">
        <v>16</v>
      </c>
      <c r="K72" s="11" t="s">
        <v>313</v>
      </c>
      <c r="L72" s="11" t="s">
        <v>314</v>
      </c>
      <c r="M72" s="11" t="s">
        <v>315</v>
      </c>
      <c r="N72" s="11" t="s">
        <v>20</v>
      </c>
      <c r="O72" s="11" t="s">
        <v>316</v>
      </c>
      <c r="P72" s="11" t="s">
        <v>22</v>
      </c>
      <c r="Q72" s="11" t="s">
        <v>23</v>
      </c>
      <c r="R72" s="11" t="s">
        <v>20</v>
      </c>
      <c r="S72" s="11" t="s">
        <v>20</v>
      </c>
      <c r="T72" s="11" t="s">
        <v>24</v>
      </c>
      <c r="U72" s="11" t="s">
        <v>20</v>
      </c>
      <c r="V72" s="11" t="s">
        <v>20</v>
      </c>
      <c r="W72" s="11" t="s">
        <v>20</v>
      </c>
      <c r="X72" s="11" t="s">
        <v>317</v>
      </c>
      <c r="Y72" s="11"/>
    </row>
    <row r="73">
      <c r="A73" s="26" t="s">
        <v>433</v>
      </c>
      <c r="B73" s="26" t="s">
        <v>855</v>
      </c>
      <c r="C73" s="26" t="s">
        <v>856</v>
      </c>
      <c r="D73" s="9" t="s">
        <v>428</v>
      </c>
      <c r="E73" s="11" t="s">
        <v>429</v>
      </c>
      <c r="F73" s="11" t="s">
        <v>430</v>
      </c>
      <c r="G73" s="11" t="s">
        <v>431</v>
      </c>
      <c r="H73" s="11" t="s">
        <v>432</v>
      </c>
      <c r="I73" s="11" t="s">
        <v>15</v>
      </c>
      <c r="J73" s="11" t="s">
        <v>16</v>
      </c>
      <c r="K73" s="11" t="s">
        <v>193</v>
      </c>
      <c r="L73" s="11" t="s">
        <v>433</v>
      </c>
      <c r="M73" s="11" t="s">
        <v>348</v>
      </c>
      <c r="N73" s="11" t="s">
        <v>20</v>
      </c>
      <c r="O73" s="11" t="s">
        <v>434</v>
      </c>
      <c r="P73" s="11" t="s">
        <v>20</v>
      </c>
      <c r="Q73" s="11" t="s">
        <v>20</v>
      </c>
      <c r="R73" s="11" t="s">
        <v>20</v>
      </c>
      <c r="S73" s="11" t="s">
        <v>20</v>
      </c>
      <c r="T73" s="11" t="s">
        <v>140</v>
      </c>
      <c r="U73" s="11" t="s">
        <v>20</v>
      </c>
      <c r="V73" s="11" t="s">
        <v>20</v>
      </c>
      <c r="W73" s="11" t="s">
        <v>20</v>
      </c>
      <c r="X73" s="11" t="s">
        <v>435</v>
      </c>
      <c r="Y73" s="11"/>
      <c r="Z73" s="11"/>
      <c r="AA73" s="11"/>
      <c r="AB73" s="11"/>
      <c r="AC73" s="11"/>
    </row>
    <row r="74">
      <c r="A74" s="26" t="s">
        <v>857</v>
      </c>
      <c r="B74" s="26" t="s">
        <v>858</v>
      </c>
      <c r="C74" s="26" t="s">
        <v>538</v>
      </c>
      <c r="D74" s="4">
        <v>0.0</v>
      </c>
      <c r="Z74" s="11"/>
      <c r="AA74" s="11"/>
      <c r="AB74" s="11"/>
      <c r="AC74" s="11"/>
    </row>
    <row r="75">
      <c r="A75" s="26" t="s">
        <v>859</v>
      </c>
      <c r="B75" s="26" t="s">
        <v>860</v>
      </c>
      <c r="C75" s="26" t="s">
        <v>538</v>
      </c>
      <c r="D75" s="4">
        <v>0.0</v>
      </c>
    </row>
    <row r="76">
      <c r="A76" s="26" t="s">
        <v>861</v>
      </c>
      <c r="B76" s="26" t="s">
        <v>862</v>
      </c>
      <c r="C76" s="26" t="s">
        <v>538</v>
      </c>
      <c r="D76" s="4">
        <v>0.0</v>
      </c>
    </row>
    <row r="77">
      <c r="A77" s="26" t="s">
        <v>46</v>
      </c>
      <c r="B77" s="26" t="s">
        <v>863</v>
      </c>
      <c r="C77" s="26" t="s">
        <v>538</v>
      </c>
      <c r="D77" s="9" t="s">
        <v>40</v>
      </c>
      <c r="E77" s="11" t="s">
        <v>41</v>
      </c>
      <c r="F77" s="11" t="s">
        <v>42</v>
      </c>
      <c r="G77" s="11" t="s">
        <v>43</v>
      </c>
      <c r="H77" s="11" t="s">
        <v>44</v>
      </c>
      <c r="I77" s="11" t="s">
        <v>15</v>
      </c>
      <c r="J77" s="11" t="s">
        <v>16</v>
      </c>
      <c r="K77" s="11" t="s">
        <v>45</v>
      </c>
      <c r="L77" s="11" t="s">
        <v>46</v>
      </c>
      <c r="M77" s="11" t="s">
        <v>47</v>
      </c>
      <c r="N77" s="11" t="s">
        <v>20</v>
      </c>
      <c r="O77" s="11" t="s">
        <v>48</v>
      </c>
      <c r="P77" s="11" t="s">
        <v>22</v>
      </c>
      <c r="Q77" s="11" t="s">
        <v>23</v>
      </c>
      <c r="R77" s="11" t="s">
        <v>20</v>
      </c>
      <c r="S77" s="11" t="s">
        <v>20</v>
      </c>
      <c r="T77" s="11" t="s">
        <v>24</v>
      </c>
      <c r="U77" s="11" t="s">
        <v>20</v>
      </c>
      <c r="V77" s="11" t="s">
        <v>20</v>
      </c>
      <c r="W77" s="11" t="s">
        <v>20</v>
      </c>
      <c r="X77" s="11" t="s">
        <v>49</v>
      </c>
    </row>
    <row r="78">
      <c r="A78" s="26" t="s">
        <v>35</v>
      </c>
      <c r="B78" s="26" t="s">
        <v>864</v>
      </c>
      <c r="C78" s="26" t="s">
        <v>538</v>
      </c>
      <c r="D78" s="9" t="s">
        <v>29</v>
      </c>
      <c r="E78" s="11" t="s">
        <v>30</v>
      </c>
      <c r="F78" s="11" t="s">
        <v>31</v>
      </c>
      <c r="G78" s="11" t="s">
        <v>32</v>
      </c>
      <c r="H78" s="11" t="s">
        <v>33</v>
      </c>
      <c r="I78" s="11" t="s">
        <v>15</v>
      </c>
      <c r="J78" s="11" t="s">
        <v>16</v>
      </c>
      <c r="K78" s="11" t="s">
        <v>34</v>
      </c>
      <c r="L78" s="11" t="s">
        <v>35</v>
      </c>
      <c r="M78" s="11" t="s">
        <v>36</v>
      </c>
      <c r="N78" s="11" t="s">
        <v>20</v>
      </c>
      <c r="O78" s="11" t="s">
        <v>37</v>
      </c>
      <c r="P78" s="11" t="s">
        <v>22</v>
      </c>
      <c r="Q78" s="11" t="s">
        <v>23</v>
      </c>
      <c r="R78" s="11" t="s">
        <v>20</v>
      </c>
      <c r="S78" s="11" t="s">
        <v>20</v>
      </c>
      <c r="T78" s="11" t="s">
        <v>24</v>
      </c>
      <c r="U78" s="11" t="s">
        <v>20</v>
      </c>
      <c r="V78" s="11" t="s">
        <v>20</v>
      </c>
      <c r="W78" s="11" t="s">
        <v>20</v>
      </c>
      <c r="X78" s="11" t="s">
        <v>38</v>
      </c>
      <c r="Y78" s="11"/>
      <c r="Z78" s="11"/>
      <c r="AA78" s="11"/>
    </row>
    <row r="79">
      <c r="A79" s="26" t="s">
        <v>865</v>
      </c>
      <c r="B79" s="26" t="s">
        <v>866</v>
      </c>
      <c r="C79" s="26" t="s">
        <v>577</v>
      </c>
      <c r="D79" s="9" t="s">
        <v>867</v>
      </c>
      <c r="E79" s="11" t="s">
        <v>868</v>
      </c>
      <c r="F79" s="11" t="s">
        <v>869</v>
      </c>
      <c r="G79" s="11" t="s">
        <v>870</v>
      </c>
      <c r="H79" s="11" t="s">
        <v>871</v>
      </c>
      <c r="I79" s="11" t="s">
        <v>15</v>
      </c>
      <c r="J79" s="11" t="s">
        <v>16</v>
      </c>
      <c r="K79" s="11" t="s">
        <v>872</v>
      </c>
      <c r="L79" s="11" t="s">
        <v>873</v>
      </c>
      <c r="M79" s="11" t="s">
        <v>874</v>
      </c>
      <c r="N79" s="11" t="s">
        <v>875</v>
      </c>
      <c r="O79" s="11" t="s">
        <v>876</v>
      </c>
      <c r="P79" s="11" t="s">
        <v>20</v>
      </c>
      <c r="Q79" s="11" t="s">
        <v>20</v>
      </c>
      <c r="R79" s="11" t="s">
        <v>20</v>
      </c>
      <c r="S79" s="11" t="s">
        <v>20</v>
      </c>
      <c r="T79" s="11" t="s">
        <v>877</v>
      </c>
      <c r="U79" s="11" t="s">
        <v>20</v>
      </c>
      <c r="V79" s="11" t="s">
        <v>20</v>
      </c>
      <c r="W79" s="11" t="s">
        <v>20</v>
      </c>
      <c r="X79" s="11" t="s">
        <v>878</v>
      </c>
      <c r="Y79" s="11"/>
      <c r="Z79" s="11"/>
      <c r="AA79" s="11"/>
      <c r="AB79" s="11"/>
      <c r="AC79" s="11"/>
    </row>
    <row r="80">
      <c r="D80" s="9" t="s">
        <v>879</v>
      </c>
      <c r="E80" s="11" t="s">
        <v>880</v>
      </c>
      <c r="F80" s="11" t="s">
        <v>881</v>
      </c>
      <c r="G80" s="11" t="s">
        <v>882</v>
      </c>
      <c r="H80" s="11" t="s">
        <v>883</v>
      </c>
      <c r="I80" s="11" t="s">
        <v>15</v>
      </c>
      <c r="J80" s="11" t="s">
        <v>16</v>
      </c>
      <c r="K80" s="11" t="s">
        <v>884</v>
      </c>
      <c r="L80" s="11" t="s">
        <v>873</v>
      </c>
      <c r="M80" s="11" t="s">
        <v>874</v>
      </c>
      <c r="N80" s="11" t="s">
        <v>875</v>
      </c>
      <c r="O80" s="11" t="s">
        <v>876</v>
      </c>
      <c r="P80" s="11" t="s">
        <v>20</v>
      </c>
      <c r="Q80" s="11" t="s">
        <v>20</v>
      </c>
      <c r="R80" s="11" t="s">
        <v>20</v>
      </c>
      <c r="S80" s="11" t="s">
        <v>20</v>
      </c>
      <c r="T80" s="11" t="s">
        <v>877</v>
      </c>
      <c r="U80" s="11" t="s">
        <v>20</v>
      </c>
      <c r="V80" s="11" t="s">
        <v>20</v>
      </c>
      <c r="W80" s="11" t="s">
        <v>20</v>
      </c>
      <c r="X80" s="11" t="s">
        <v>878</v>
      </c>
      <c r="Y80" s="11"/>
      <c r="Z80" s="11"/>
      <c r="AA80" s="11"/>
      <c r="AB80" s="11"/>
      <c r="AC80" s="11"/>
    </row>
    <row r="81">
      <c r="A81" s="26" t="s">
        <v>885</v>
      </c>
      <c r="B81" s="26" t="s">
        <v>886</v>
      </c>
      <c r="C81" s="27"/>
      <c r="D81" s="9" t="s">
        <v>887</v>
      </c>
      <c r="E81" s="11" t="s">
        <v>888</v>
      </c>
      <c r="F81" s="11" t="s">
        <v>889</v>
      </c>
      <c r="G81" s="11" t="s">
        <v>397</v>
      </c>
      <c r="H81" s="11" t="s">
        <v>890</v>
      </c>
      <c r="I81" s="11" t="s">
        <v>15</v>
      </c>
      <c r="J81" s="11" t="s">
        <v>891</v>
      </c>
      <c r="K81" s="11" t="s">
        <v>892</v>
      </c>
      <c r="L81" s="11" t="s">
        <v>885</v>
      </c>
      <c r="M81" s="11" t="s">
        <v>893</v>
      </c>
      <c r="N81" s="11" t="s">
        <v>894</v>
      </c>
      <c r="O81" s="11" t="s">
        <v>895</v>
      </c>
      <c r="P81" s="11" t="s">
        <v>896</v>
      </c>
      <c r="Q81" s="11" t="s">
        <v>20</v>
      </c>
      <c r="R81" s="11" t="s">
        <v>897</v>
      </c>
      <c r="S81" s="11" t="s">
        <v>898</v>
      </c>
      <c r="T81" s="11" t="s">
        <v>899</v>
      </c>
      <c r="U81" s="11" t="s">
        <v>20</v>
      </c>
      <c r="V81" s="11" t="s">
        <v>20</v>
      </c>
      <c r="W81" s="11" t="s">
        <v>20</v>
      </c>
      <c r="X81" s="11" t="s">
        <v>900</v>
      </c>
      <c r="Y81" s="11"/>
      <c r="Z81" s="11"/>
      <c r="AA81" s="11"/>
      <c r="AB81" s="11"/>
      <c r="AC81" s="11"/>
    </row>
    <row r="82">
      <c r="D82" s="9" t="s">
        <v>901</v>
      </c>
      <c r="E82" s="11" t="s">
        <v>902</v>
      </c>
      <c r="F82" s="11" t="s">
        <v>903</v>
      </c>
      <c r="G82" s="11" t="s">
        <v>904</v>
      </c>
      <c r="H82" s="11" t="s">
        <v>905</v>
      </c>
      <c r="I82" s="11" t="s">
        <v>15</v>
      </c>
      <c r="J82" s="11" t="s">
        <v>891</v>
      </c>
      <c r="K82" s="11" t="s">
        <v>906</v>
      </c>
      <c r="L82" s="11" t="s">
        <v>885</v>
      </c>
      <c r="M82" s="11" t="s">
        <v>893</v>
      </c>
      <c r="N82" s="11" t="s">
        <v>894</v>
      </c>
      <c r="O82" s="11" t="s">
        <v>895</v>
      </c>
      <c r="P82" s="11" t="s">
        <v>896</v>
      </c>
      <c r="Q82" s="11" t="s">
        <v>20</v>
      </c>
      <c r="R82" s="11" t="s">
        <v>897</v>
      </c>
      <c r="S82" s="11" t="s">
        <v>898</v>
      </c>
      <c r="T82" s="11" t="s">
        <v>899</v>
      </c>
      <c r="U82" s="11" t="s">
        <v>20</v>
      </c>
      <c r="V82" s="11" t="s">
        <v>20</v>
      </c>
      <c r="W82" s="11" t="s">
        <v>20</v>
      </c>
      <c r="X82" s="11" t="s">
        <v>900</v>
      </c>
      <c r="Y82" s="11"/>
      <c r="Z82" s="11"/>
      <c r="AA82" s="11"/>
      <c r="AB82" s="11"/>
      <c r="AC82" s="11"/>
    </row>
    <row r="83">
      <c r="A83" s="26" t="s">
        <v>182</v>
      </c>
      <c r="B83" s="26" t="s">
        <v>907</v>
      </c>
      <c r="C83" s="26" t="s">
        <v>577</v>
      </c>
      <c r="D83" s="9" t="s">
        <v>176</v>
      </c>
      <c r="E83" s="11" t="s">
        <v>177</v>
      </c>
      <c r="F83" s="11" t="s">
        <v>178</v>
      </c>
      <c r="G83" s="14">
        <v>46288.0</v>
      </c>
      <c r="H83" s="11" t="s">
        <v>179</v>
      </c>
      <c r="I83" s="11" t="s">
        <v>15</v>
      </c>
      <c r="J83" s="11" t="s">
        <v>180</v>
      </c>
      <c r="K83" s="11" t="s">
        <v>181</v>
      </c>
      <c r="L83" s="11" t="s">
        <v>182</v>
      </c>
      <c r="M83" s="11" t="s">
        <v>183</v>
      </c>
      <c r="N83" s="11" t="s">
        <v>20</v>
      </c>
      <c r="O83" s="11" t="s">
        <v>184</v>
      </c>
      <c r="P83" s="11" t="s">
        <v>20</v>
      </c>
      <c r="Q83" s="11" t="s">
        <v>20</v>
      </c>
      <c r="R83" s="11" t="s">
        <v>20</v>
      </c>
      <c r="S83" s="11" t="s">
        <v>20</v>
      </c>
      <c r="T83" s="11" t="s">
        <v>185</v>
      </c>
      <c r="U83" s="11" t="s">
        <v>20</v>
      </c>
      <c r="V83" s="11" t="s">
        <v>20</v>
      </c>
      <c r="W83" s="11" t="s">
        <v>20</v>
      </c>
      <c r="X83" s="11" t="s">
        <v>186</v>
      </c>
      <c r="Y83" s="11"/>
      <c r="Z83" s="11"/>
      <c r="AA83" s="11"/>
      <c r="AB83" s="11"/>
      <c r="AC83" s="11"/>
    </row>
    <row r="84">
      <c r="A84" s="26" t="s">
        <v>243</v>
      </c>
      <c r="B84" s="26" t="s">
        <v>908</v>
      </c>
      <c r="C84" s="26" t="s">
        <v>758</v>
      </c>
      <c r="D84" s="9" t="s">
        <v>237</v>
      </c>
      <c r="E84" s="11" t="s">
        <v>238</v>
      </c>
      <c r="F84" s="11" t="s">
        <v>239</v>
      </c>
      <c r="G84" s="11" t="s">
        <v>240</v>
      </c>
      <c r="H84" s="11" t="s">
        <v>241</v>
      </c>
      <c r="I84" s="11" t="s">
        <v>15</v>
      </c>
      <c r="J84" s="11" t="s">
        <v>16</v>
      </c>
      <c r="K84" s="11" t="s">
        <v>242</v>
      </c>
      <c r="L84" s="11" t="s">
        <v>243</v>
      </c>
      <c r="M84" s="11" t="s">
        <v>244</v>
      </c>
      <c r="N84" s="11" t="s">
        <v>20</v>
      </c>
      <c r="O84" s="11" t="s">
        <v>245</v>
      </c>
      <c r="P84" s="11" t="s">
        <v>22</v>
      </c>
      <c r="Q84" s="11" t="s">
        <v>23</v>
      </c>
      <c r="R84" s="11" t="s">
        <v>20</v>
      </c>
      <c r="S84" s="11" t="s">
        <v>20</v>
      </c>
      <c r="T84" s="11" t="s">
        <v>24</v>
      </c>
      <c r="U84" s="11" t="s">
        <v>20</v>
      </c>
      <c r="V84" s="11" t="s">
        <v>20</v>
      </c>
      <c r="W84" s="11" t="s">
        <v>20</v>
      </c>
      <c r="X84" s="11" t="s">
        <v>246</v>
      </c>
      <c r="Y84" s="11"/>
    </row>
    <row r="85">
      <c r="A85" s="26" t="s">
        <v>137</v>
      </c>
      <c r="B85" s="26" t="s">
        <v>909</v>
      </c>
      <c r="C85" s="26" t="s">
        <v>538</v>
      </c>
      <c r="D85" s="9" t="s">
        <v>132</v>
      </c>
      <c r="E85" s="11" t="s">
        <v>133</v>
      </c>
      <c r="F85" s="11" t="s">
        <v>134</v>
      </c>
      <c r="G85" s="31">
        <v>46200.0</v>
      </c>
      <c r="H85" s="11" t="s">
        <v>135</v>
      </c>
      <c r="I85" s="11" t="s">
        <v>15</v>
      </c>
      <c r="J85" s="11" t="s">
        <v>16</v>
      </c>
      <c r="K85" s="11" t="s">
        <v>136</v>
      </c>
      <c r="L85" s="11" t="s">
        <v>137</v>
      </c>
      <c r="M85" s="11" t="s">
        <v>138</v>
      </c>
      <c r="N85" s="11" t="s">
        <v>20</v>
      </c>
      <c r="O85" s="11" t="s">
        <v>139</v>
      </c>
      <c r="P85" s="11" t="s">
        <v>20</v>
      </c>
      <c r="Q85" s="11" t="s">
        <v>20</v>
      </c>
      <c r="R85" s="11" t="s">
        <v>20</v>
      </c>
      <c r="S85" s="11" t="s">
        <v>20</v>
      </c>
      <c r="T85" s="11" t="s">
        <v>140</v>
      </c>
      <c r="U85" s="11" t="s">
        <v>20</v>
      </c>
      <c r="V85" s="11" t="s">
        <v>20</v>
      </c>
      <c r="W85" s="11" t="s">
        <v>20</v>
      </c>
      <c r="X85" s="11" t="s">
        <v>141</v>
      </c>
      <c r="Y85" s="11"/>
    </row>
    <row r="86">
      <c r="A86" s="26" t="s">
        <v>464</v>
      </c>
      <c r="B86" s="26" t="s">
        <v>910</v>
      </c>
      <c r="C86" s="26" t="s">
        <v>758</v>
      </c>
      <c r="D86" s="9" t="s">
        <v>459</v>
      </c>
      <c r="E86" s="11" t="s">
        <v>460</v>
      </c>
      <c r="F86" s="11" t="s">
        <v>461</v>
      </c>
      <c r="G86" s="11" t="s">
        <v>462</v>
      </c>
      <c r="H86" s="11" t="s">
        <v>463</v>
      </c>
      <c r="I86" s="11" t="s">
        <v>15</v>
      </c>
      <c r="J86" s="11" t="s">
        <v>16</v>
      </c>
      <c r="K86" s="11" t="s">
        <v>17</v>
      </c>
      <c r="L86" s="11" t="s">
        <v>464</v>
      </c>
      <c r="M86" s="11" t="s">
        <v>348</v>
      </c>
      <c r="N86" s="11" t="s">
        <v>20</v>
      </c>
      <c r="O86" s="11" t="s">
        <v>465</v>
      </c>
      <c r="P86" s="11" t="s">
        <v>20</v>
      </c>
      <c r="Q86" s="11" t="s">
        <v>20</v>
      </c>
      <c r="R86" s="11" t="s">
        <v>20</v>
      </c>
      <c r="S86" s="11" t="s">
        <v>20</v>
      </c>
      <c r="T86" s="11" t="s">
        <v>140</v>
      </c>
      <c r="U86" s="11" t="s">
        <v>20</v>
      </c>
      <c r="V86" s="11" t="s">
        <v>20</v>
      </c>
      <c r="W86" s="11" t="s">
        <v>20</v>
      </c>
      <c r="X86" s="11" t="s">
        <v>466</v>
      </c>
      <c r="Y86" s="11"/>
      <c r="Z86" s="11"/>
      <c r="AA86" s="11"/>
    </row>
    <row r="87">
      <c r="A87" s="26" t="s">
        <v>911</v>
      </c>
      <c r="B87" s="26" t="s">
        <v>912</v>
      </c>
      <c r="C87" s="26" t="s">
        <v>538</v>
      </c>
      <c r="D87" s="9" t="s">
        <v>913</v>
      </c>
      <c r="E87" s="11" t="s">
        <v>914</v>
      </c>
      <c r="F87" s="11" t="s">
        <v>915</v>
      </c>
      <c r="G87" s="14">
        <v>46071.0</v>
      </c>
      <c r="H87" s="11" t="s">
        <v>916</v>
      </c>
      <c r="I87" s="11" t="s">
        <v>15</v>
      </c>
      <c r="J87" s="11" t="s">
        <v>180</v>
      </c>
      <c r="K87" s="11" t="s">
        <v>917</v>
      </c>
      <c r="L87" s="11" t="s">
        <v>911</v>
      </c>
      <c r="M87" s="11" t="s">
        <v>918</v>
      </c>
      <c r="N87" s="11" t="s">
        <v>20</v>
      </c>
      <c r="O87" s="11" t="s">
        <v>919</v>
      </c>
      <c r="P87" s="11" t="s">
        <v>920</v>
      </c>
      <c r="Q87" s="11" t="s">
        <v>921</v>
      </c>
      <c r="R87" s="11" t="s">
        <v>20</v>
      </c>
      <c r="S87" s="11" t="s">
        <v>20</v>
      </c>
      <c r="T87" s="11" t="s">
        <v>922</v>
      </c>
      <c r="U87" s="11" t="s">
        <v>923</v>
      </c>
      <c r="V87" s="11" t="s">
        <v>20</v>
      </c>
      <c r="W87" s="11" t="s">
        <v>20</v>
      </c>
      <c r="X87" s="11" t="s">
        <v>924</v>
      </c>
      <c r="Y87" s="11"/>
      <c r="Z87" s="11"/>
      <c r="AA87" s="11"/>
      <c r="AB87" s="11"/>
      <c r="AC87" s="11"/>
    </row>
    <row r="88">
      <c r="D88" s="9" t="s">
        <v>925</v>
      </c>
      <c r="E88" s="11" t="s">
        <v>926</v>
      </c>
      <c r="F88" s="11" t="s">
        <v>927</v>
      </c>
      <c r="G88" s="31" t="s">
        <v>928</v>
      </c>
      <c r="H88" s="11" t="s">
        <v>929</v>
      </c>
      <c r="I88" s="11" t="s">
        <v>15</v>
      </c>
      <c r="J88" s="11" t="s">
        <v>180</v>
      </c>
      <c r="K88" s="11" t="s">
        <v>917</v>
      </c>
      <c r="L88" s="11" t="s">
        <v>911</v>
      </c>
      <c r="M88" s="11" t="s">
        <v>918</v>
      </c>
      <c r="N88" s="11" t="s">
        <v>20</v>
      </c>
      <c r="O88" s="11" t="s">
        <v>919</v>
      </c>
      <c r="P88" s="11" t="s">
        <v>920</v>
      </c>
      <c r="Q88" s="11" t="s">
        <v>921</v>
      </c>
      <c r="R88" s="11" t="s">
        <v>20</v>
      </c>
      <c r="S88" s="11" t="s">
        <v>20</v>
      </c>
      <c r="T88" s="11" t="s">
        <v>922</v>
      </c>
      <c r="U88" s="11" t="s">
        <v>923</v>
      </c>
      <c r="V88" s="11" t="s">
        <v>20</v>
      </c>
      <c r="W88" s="11" t="s">
        <v>20</v>
      </c>
      <c r="X88" s="11" t="s">
        <v>924</v>
      </c>
      <c r="Y88" s="11"/>
      <c r="Z88" s="11"/>
      <c r="AA88" s="11"/>
      <c r="AB88" s="11"/>
      <c r="AC88" s="11"/>
    </row>
    <row r="89">
      <c r="D89" s="9" t="s">
        <v>930</v>
      </c>
      <c r="E89" s="11" t="s">
        <v>931</v>
      </c>
      <c r="F89" s="11" t="s">
        <v>932</v>
      </c>
      <c r="G89" s="14">
        <v>46228.0</v>
      </c>
      <c r="H89" s="11" t="s">
        <v>933</v>
      </c>
      <c r="I89" s="11" t="s">
        <v>15</v>
      </c>
      <c r="J89" s="11" t="s">
        <v>180</v>
      </c>
      <c r="K89" s="11" t="s">
        <v>934</v>
      </c>
      <c r="L89" s="11" t="s">
        <v>911</v>
      </c>
      <c r="M89" s="11" t="s">
        <v>918</v>
      </c>
      <c r="N89" s="11" t="s">
        <v>20</v>
      </c>
      <c r="O89" s="11" t="s">
        <v>919</v>
      </c>
      <c r="P89" s="11" t="s">
        <v>920</v>
      </c>
      <c r="Q89" s="11" t="s">
        <v>921</v>
      </c>
      <c r="R89" s="11" t="s">
        <v>20</v>
      </c>
      <c r="S89" s="11" t="s">
        <v>20</v>
      </c>
      <c r="T89" s="11" t="s">
        <v>922</v>
      </c>
      <c r="U89" s="11" t="s">
        <v>923</v>
      </c>
      <c r="V89" s="11" t="s">
        <v>20</v>
      </c>
      <c r="W89" s="11" t="s">
        <v>20</v>
      </c>
      <c r="X89" s="11" t="s">
        <v>924</v>
      </c>
      <c r="Y89" s="11"/>
      <c r="Z89" s="11"/>
      <c r="AA89" s="11"/>
      <c r="AB89" s="11"/>
      <c r="AC89" s="11"/>
    </row>
    <row r="90">
      <c r="A90" s="26" t="s">
        <v>442</v>
      </c>
      <c r="B90" s="26" t="s">
        <v>935</v>
      </c>
      <c r="C90" s="26" t="s">
        <v>538</v>
      </c>
      <c r="D90" s="9" t="s">
        <v>437</v>
      </c>
      <c r="E90" s="11" t="s">
        <v>438</v>
      </c>
      <c r="F90" s="11" t="s">
        <v>439</v>
      </c>
      <c r="G90" s="14">
        <v>46167.0</v>
      </c>
      <c r="H90" s="11" t="s">
        <v>440</v>
      </c>
      <c r="I90" s="11" t="s">
        <v>15</v>
      </c>
      <c r="J90" s="11" t="s">
        <v>16</v>
      </c>
      <c r="K90" s="11" t="s">
        <v>441</v>
      </c>
      <c r="L90" s="11" t="s">
        <v>442</v>
      </c>
      <c r="M90" s="11" t="s">
        <v>443</v>
      </c>
      <c r="N90" s="11" t="s">
        <v>20</v>
      </c>
      <c r="O90" s="11" t="s">
        <v>444</v>
      </c>
      <c r="P90" s="11" t="s">
        <v>20</v>
      </c>
      <c r="Q90" s="11" t="s">
        <v>20</v>
      </c>
      <c r="R90" s="11" t="s">
        <v>20</v>
      </c>
      <c r="S90" s="11" t="s">
        <v>20</v>
      </c>
      <c r="T90" s="11" t="s">
        <v>445</v>
      </c>
      <c r="U90" s="11" t="s">
        <v>20</v>
      </c>
      <c r="V90" s="11" t="s">
        <v>20</v>
      </c>
      <c r="W90" s="11" t="s">
        <v>20</v>
      </c>
      <c r="X90" s="11" t="s">
        <v>20</v>
      </c>
      <c r="Y90" s="11"/>
      <c r="Z90" s="11"/>
      <c r="AA90" s="11"/>
    </row>
    <row r="91">
      <c r="A91" s="26" t="s">
        <v>936</v>
      </c>
      <c r="B91" s="26" t="s">
        <v>937</v>
      </c>
      <c r="C91" s="26" t="s">
        <v>538</v>
      </c>
      <c r="D91" s="4">
        <v>0.0</v>
      </c>
    </row>
    <row r="92">
      <c r="A92" s="26" t="s">
        <v>938</v>
      </c>
      <c r="B92" s="26" t="s">
        <v>939</v>
      </c>
      <c r="C92" s="26" t="s">
        <v>577</v>
      </c>
      <c r="D92" s="4">
        <v>0.0</v>
      </c>
    </row>
    <row r="93">
      <c r="A93" s="26" t="s">
        <v>475</v>
      </c>
      <c r="B93" s="26" t="s">
        <v>940</v>
      </c>
      <c r="C93" s="26" t="s">
        <v>538</v>
      </c>
      <c r="D93" s="9" t="s">
        <v>470</v>
      </c>
      <c r="E93" s="11" t="s">
        <v>471</v>
      </c>
      <c r="F93" s="11" t="s">
        <v>472</v>
      </c>
      <c r="G93" s="11" t="s">
        <v>117</v>
      </c>
      <c r="H93" s="11" t="s">
        <v>473</v>
      </c>
      <c r="I93" s="11" t="s">
        <v>15</v>
      </c>
      <c r="J93" s="11" t="s">
        <v>16</v>
      </c>
      <c r="K93" s="11" t="s">
        <v>474</v>
      </c>
      <c r="L93" s="11" t="s">
        <v>475</v>
      </c>
      <c r="M93" s="11" t="s">
        <v>476</v>
      </c>
      <c r="N93" s="11" t="s">
        <v>20</v>
      </c>
      <c r="O93" s="11" t="s">
        <v>477</v>
      </c>
      <c r="P93" s="11" t="s">
        <v>20</v>
      </c>
      <c r="Q93" s="11" t="s">
        <v>20</v>
      </c>
      <c r="R93" s="11" t="s">
        <v>20</v>
      </c>
      <c r="S93" s="11" t="s">
        <v>20</v>
      </c>
      <c r="T93" s="11" t="s">
        <v>140</v>
      </c>
      <c r="U93" s="11" t="s">
        <v>20</v>
      </c>
      <c r="V93" s="11" t="s">
        <v>20</v>
      </c>
      <c r="W93" s="11" t="s">
        <v>20</v>
      </c>
      <c r="X93" s="11" t="s">
        <v>478</v>
      </c>
      <c r="Y93" s="11"/>
      <c r="Z93" s="11"/>
    </row>
    <row r="94">
      <c r="A94" s="26" t="s">
        <v>941</v>
      </c>
      <c r="B94" s="26" t="s">
        <v>378</v>
      </c>
      <c r="C94" s="26" t="s">
        <v>577</v>
      </c>
      <c r="D94" s="9" t="s">
        <v>374</v>
      </c>
      <c r="E94" s="11" t="s">
        <v>375</v>
      </c>
      <c r="F94" s="11" t="s">
        <v>376</v>
      </c>
      <c r="G94" s="14">
        <v>46201.0</v>
      </c>
      <c r="H94" s="11" t="s">
        <v>377</v>
      </c>
      <c r="I94" s="11" t="s">
        <v>15</v>
      </c>
      <c r="J94" s="11" t="s">
        <v>16</v>
      </c>
      <c r="K94" s="11" t="s">
        <v>378</v>
      </c>
      <c r="L94" s="11" t="s">
        <v>379</v>
      </c>
      <c r="M94" s="11" t="s">
        <v>380</v>
      </c>
      <c r="N94" s="11" t="s">
        <v>20</v>
      </c>
      <c r="O94" s="11" t="s">
        <v>381</v>
      </c>
      <c r="P94" s="11" t="s">
        <v>22</v>
      </c>
      <c r="Q94" s="11" t="s">
        <v>23</v>
      </c>
      <c r="R94" s="11" t="s">
        <v>20</v>
      </c>
      <c r="S94" s="11" t="s">
        <v>20</v>
      </c>
      <c r="T94" s="11" t="s">
        <v>24</v>
      </c>
      <c r="U94" s="11" t="s">
        <v>20</v>
      </c>
      <c r="V94" s="11" t="s">
        <v>20</v>
      </c>
      <c r="W94" s="11" t="s">
        <v>20</v>
      </c>
      <c r="X94" s="11" t="s">
        <v>382</v>
      </c>
      <c r="Y94" s="11"/>
      <c r="Z94" s="11"/>
      <c r="AA94" s="11"/>
    </row>
    <row r="95">
      <c r="A95" s="26" t="s">
        <v>942</v>
      </c>
      <c r="B95" s="26" t="s">
        <v>943</v>
      </c>
      <c r="C95" s="26" t="s">
        <v>538</v>
      </c>
      <c r="D95" s="4">
        <v>0.0</v>
      </c>
    </row>
    <row r="96">
      <c r="A96" s="26" t="s">
        <v>944</v>
      </c>
      <c r="B96" s="26" t="s">
        <v>945</v>
      </c>
      <c r="C96" s="26" t="s">
        <v>538</v>
      </c>
      <c r="D96" s="32">
        <v>0.0</v>
      </c>
      <c r="E96" s="11"/>
      <c r="F96" s="11"/>
      <c r="G96" s="11"/>
      <c r="H96" s="11"/>
      <c r="I96" s="11"/>
      <c r="J96" s="11"/>
      <c r="K96" s="11"/>
      <c r="L96" s="11"/>
      <c r="M96" s="11"/>
      <c r="N96" s="11"/>
      <c r="O96" s="11"/>
      <c r="P96" s="11"/>
      <c r="Q96" s="11"/>
      <c r="R96" s="11"/>
      <c r="S96" s="11"/>
      <c r="T96" s="11"/>
      <c r="U96" s="11"/>
      <c r="V96" s="11"/>
      <c r="W96" s="11"/>
      <c r="X96" s="11"/>
      <c r="Y96" s="11"/>
      <c r="Z96" s="11"/>
    </row>
    <row r="97">
      <c r="A97" s="26" t="s">
        <v>486</v>
      </c>
      <c r="B97" s="26" t="s">
        <v>946</v>
      </c>
      <c r="C97" s="26" t="s">
        <v>856</v>
      </c>
      <c r="D97" s="9" t="s">
        <v>481</v>
      </c>
      <c r="E97" s="11" t="s">
        <v>482</v>
      </c>
      <c r="F97" s="11" t="s">
        <v>483</v>
      </c>
      <c r="G97" s="11" t="s">
        <v>484</v>
      </c>
      <c r="H97" s="11" t="s">
        <v>485</v>
      </c>
      <c r="I97" s="11" t="s">
        <v>15</v>
      </c>
      <c r="J97" s="11" t="s">
        <v>180</v>
      </c>
      <c r="K97" s="11" t="s">
        <v>17</v>
      </c>
      <c r="L97" s="11" t="s">
        <v>486</v>
      </c>
      <c r="M97" s="11" t="s">
        <v>20</v>
      </c>
      <c r="N97" s="11" t="s">
        <v>20</v>
      </c>
      <c r="O97" s="11" t="s">
        <v>487</v>
      </c>
      <c r="P97" s="11" t="s">
        <v>20</v>
      </c>
      <c r="Q97" s="11" t="s">
        <v>20</v>
      </c>
      <c r="R97" s="11" t="s">
        <v>20</v>
      </c>
      <c r="S97" s="11" t="s">
        <v>20</v>
      </c>
      <c r="T97" s="11" t="s">
        <v>140</v>
      </c>
      <c r="U97" s="11" t="s">
        <v>20</v>
      </c>
      <c r="V97" s="11" t="s">
        <v>20</v>
      </c>
      <c r="W97" s="11" t="s">
        <v>20</v>
      </c>
      <c r="X97" s="11" t="s">
        <v>20</v>
      </c>
      <c r="Y97" s="11"/>
      <c r="Z97" s="11"/>
    </row>
    <row r="98">
      <c r="A98" s="26" t="s">
        <v>947</v>
      </c>
      <c r="B98" s="26" t="s">
        <v>948</v>
      </c>
      <c r="C98" s="26" t="s">
        <v>577</v>
      </c>
      <c r="D98" s="4">
        <v>0.0</v>
      </c>
    </row>
    <row r="99">
      <c r="A99" s="26" t="s">
        <v>949</v>
      </c>
      <c r="B99" s="26" t="s">
        <v>950</v>
      </c>
      <c r="C99" s="26" t="s">
        <v>538</v>
      </c>
      <c r="D99" s="4">
        <v>0.0</v>
      </c>
    </row>
    <row r="100">
      <c r="A100" s="26" t="s">
        <v>496</v>
      </c>
      <c r="B100" s="26" t="s">
        <v>951</v>
      </c>
      <c r="C100" s="26" t="s">
        <v>538</v>
      </c>
      <c r="D100" s="11" t="s">
        <v>490</v>
      </c>
      <c r="E100" s="11" t="s">
        <v>491</v>
      </c>
      <c r="F100" s="11" t="s">
        <v>492</v>
      </c>
      <c r="G100" s="11" t="s">
        <v>493</v>
      </c>
      <c r="H100" s="11" t="s">
        <v>494</v>
      </c>
      <c r="I100" s="11" t="s">
        <v>15</v>
      </c>
      <c r="J100" s="11" t="s">
        <v>16</v>
      </c>
      <c r="K100" s="11" t="s">
        <v>495</v>
      </c>
      <c r="L100" s="11" t="s">
        <v>496</v>
      </c>
      <c r="M100" s="11" t="s">
        <v>348</v>
      </c>
      <c r="N100" s="11" t="s">
        <v>20</v>
      </c>
      <c r="O100" s="11" t="s">
        <v>497</v>
      </c>
      <c r="P100" s="11" t="s">
        <v>20</v>
      </c>
      <c r="Q100" s="11" t="s">
        <v>20</v>
      </c>
      <c r="R100" s="11" t="s">
        <v>20</v>
      </c>
      <c r="S100" s="11" t="s">
        <v>20</v>
      </c>
      <c r="T100" s="11" t="s">
        <v>140</v>
      </c>
      <c r="U100" s="11" t="s">
        <v>20</v>
      </c>
      <c r="V100" s="11" t="s">
        <v>20</v>
      </c>
      <c r="W100" s="11" t="s">
        <v>20</v>
      </c>
      <c r="X100" s="11" t="s">
        <v>498</v>
      </c>
      <c r="Y100" s="11"/>
      <c r="Z100" s="11"/>
    </row>
    <row r="101">
      <c r="A101" s="26" t="s">
        <v>952</v>
      </c>
      <c r="B101" s="26" t="s">
        <v>953</v>
      </c>
      <c r="C101" s="26" t="s">
        <v>954</v>
      </c>
      <c r="D101" s="4">
        <v>0.0</v>
      </c>
    </row>
    <row r="102">
      <c r="A102" s="26" t="s">
        <v>80</v>
      </c>
      <c r="B102" s="26" t="s">
        <v>955</v>
      </c>
      <c r="C102" s="26" t="s">
        <v>538</v>
      </c>
      <c r="D102" s="11" t="s">
        <v>75</v>
      </c>
      <c r="E102" s="11" t="s">
        <v>76</v>
      </c>
      <c r="F102" s="11" t="s">
        <v>77</v>
      </c>
      <c r="G102" s="11" t="s">
        <v>78</v>
      </c>
      <c r="H102" s="11" t="s">
        <v>79</v>
      </c>
      <c r="I102" s="11" t="s">
        <v>15</v>
      </c>
      <c r="J102" s="11" t="s">
        <v>16</v>
      </c>
      <c r="K102" s="11" t="s">
        <v>17</v>
      </c>
      <c r="L102" s="11" t="s">
        <v>80</v>
      </c>
      <c r="M102" s="11" t="s">
        <v>19</v>
      </c>
      <c r="N102" s="11" t="s">
        <v>20</v>
      </c>
      <c r="O102" s="11" t="s">
        <v>81</v>
      </c>
      <c r="P102" s="11" t="s">
        <v>22</v>
      </c>
      <c r="Q102" s="11" t="s">
        <v>23</v>
      </c>
      <c r="R102" s="11" t="s">
        <v>20</v>
      </c>
      <c r="S102" s="11" t="s">
        <v>20</v>
      </c>
      <c r="T102" s="11" t="s">
        <v>24</v>
      </c>
      <c r="U102" s="11" t="s">
        <v>20</v>
      </c>
      <c r="V102" s="11" t="s">
        <v>20</v>
      </c>
      <c r="W102" s="11" t="s">
        <v>20</v>
      </c>
      <c r="X102" s="11" t="s">
        <v>82</v>
      </c>
      <c r="Y102" s="11"/>
    </row>
    <row r="103">
      <c r="A103" s="26" t="s">
        <v>454</v>
      </c>
      <c r="B103" s="26" t="s">
        <v>956</v>
      </c>
      <c r="C103" s="26" t="s">
        <v>538</v>
      </c>
      <c r="D103" s="11" t="s">
        <v>448</v>
      </c>
      <c r="E103" s="11" t="s">
        <v>449</v>
      </c>
      <c r="F103" s="11" t="s">
        <v>450</v>
      </c>
      <c r="G103" s="11" t="s">
        <v>451</v>
      </c>
      <c r="H103" s="11" t="s">
        <v>452</v>
      </c>
      <c r="I103" s="11" t="s">
        <v>15</v>
      </c>
      <c r="J103" s="11" t="s">
        <v>16</v>
      </c>
      <c r="K103" s="11" t="s">
        <v>453</v>
      </c>
      <c r="L103" s="11" t="s">
        <v>454</v>
      </c>
      <c r="M103" s="11" t="s">
        <v>455</v>
      </c>
      <c r="N103" s="11" t="s">
        <v>20</v>
      </c>
      <c r="O103" s="11" t="s">
        <v>456</v>
      </c>
      <c r="P103" s="11" t="s">
        <v>20</v>
      </c>
      <c r="Q103" s="11" t="s">
        <v>20</v>
      </c>
      <c r="R103" s="11" t="s">
        <v>20</v>
      </c>
      <c r="S103" s="11" t="s">
        <v>20</v>
      </c>
      <c r="T103" s="11" t="s">
        <v>140</v>
      </c>
      <c r="U103" s="11" t="s">
        <v>20</v>
      </c>
      <c r="V103" s="11" t="s">
        <v>20</v>
      </c>
      <c r="W103" s="11" t="s">
        <v>20</v>
      </c>
      <c r="X103" s="11" t="s">
        <v>457</v>
      </c>
      <c r="Y103" s="11"/>
      <c r="Z103" s="11"/>
    </row>
    <row r="104">
      <c r="A104" s="26" t="s">
        <v>957</v>
      </c>
      <c r="B104" s="26" t="s">
        <v>958</v>
      </c>
      <c r="C104" s="26" t="s">
        <v>538</v>
      </c>
      <c r="D104" s="11" t="s">
        <v>959</v>
      </c>
      <c r="E104" s="11" t="s">
        <v>960</v>
      </c>
      <c r="F104" s="11" t="s">
        <v>961</v>
      </c>
      <c r="G104" s="11" t="s">
        <v>962</v>
      </c>
      <c r="H104" s="11" t="s">
        <v>963</v>
      </c>
      <c r="I104" s="11" t="s">
        <v>15</v>
      </c>
      <c r="J104" s="11" t="s">
        <v>16</v>
      </c>
      <c r="K104" s="11" t="s">
        <v>964</v>
      </c>
      <c r="L104" s="11" t="s">
        <v>957</v>
      </c>
      <c r="M104" s="11" t="s">
        <v>965</v>
      </c>
      <c r="N104" s="11" t="s">
        <v>966</v>
      </c>
      <c r="O104" s="11" t="s">
        <v>967</v>
      </c>
      <c r="P104" s="11" t="s">
        <v>968</v>
      </c>
      <c r="Q104" s="11" t="s">
        <v>969</v>
      </c>
      <c r="R104" s="11" t="s">
        <v>970</v>
      </c>
      <c r="S104" s="11" t="s">
        <v>971</v>
      </c>
      <c r="T104" s="11" t="s">
        <v>972</v>
      </c>
      <c r="U104" s="11" t="s">
        <v>20</v>
      </c>
      <c r="V104" s="11" t="s">
        <v>20</v>
      </c>
      <c r="W104" s="11" t="s">
        <v>20</v>
      </c>
      <c r="X104" s="11" t="s">
        <v>973</v>
      </c>
      <c r="Y104" s="11"/>
      <c r="Z104" s="11"/>
      <c r="AA104" s="11"/>
      <c r="AB104" s="11"/>
      <c r="AC104" s="11"/>
    </row>
    <row r="105">
      <c r="A105" s="26" t="s">
        <v>974</v>
      </c>
      <c r="B105" s="26" t="s">
        <v>975</v>
      </c>
      <c r="C105" s="26" t="s">
        <v>708</v>
      </c>
      <c r="D105" s="4">
        <v>0.0</v>
      </c>
    </row>
    <row r="106">
      <c r="A106" s="26" t="s">
        <v>976</v>
      </c>
      <c r="B106" s="26" t="s">
        <v>977</v>
      </c>
      <c r="C106" s="26" t="s">
        <v>538</v>
      </c>
      <c r="D106" s="4">
        <v>0.0</v>
      </c>
    </row>
    <row r="107">
      <c r="A107" s="26" t="s">
        <v>208</v>
      </c>
      <c r="B107" s="26" t="s">
        <v>978</v>
      </c>
      <c r="C107" s="26" t="s">
        <v>577</v>
      </c>
      <c r="D107" s="11" t="s">
        <v>202</v>
      </c>
      <c r="E107" s="11" t="s">
        <v>203</v>
      </c>
      <c r="F107" s="11" t="s">
        <v>204</v>
      </c>
      <c r="G107" s="11" t="s">
        <v>205</v>
      </c>
      <c r="H107" s="11" t="s">
        <v>206</v>
      </c>
      <c r="I107" s="11" t="s">
        <v>15</v>
      </c>
      <c r="J107" s="11" t="s">
        <v>16</v>
      </c>
      <c r="K107" s="11" t="s">
        <v>207</v>
      </c>
      <c r="L107" s="11" t="s">
        <v>208</v>
      </c>
      <c r="M107" s="11" t="s">
        <v>209</v>
      </c>
      <c r="N107" s="11" t="s">
        <v>20</v>
      </c>
      <c r="O107" s="11" t="s">
        <v>210</v>
      </c>
      <c r="P107" s="11" t="s">
        <v>22</v>
      </c>
      <c r="Q107" s="11" t="s">
        <v>23</v>
      </c>
      <c r="R107" s="11" t="s">
        <v>20</v>
      </c>
      <c r="S107" s="11" t="s">
        <v>20</v>
      </c>
      <c r="T107" s="11" t="s">
        <v>24</v>
      </c>
      <c r="U107" s="11" t="s">
        <v>20</v>
      </c>
      <c r="V107" s="11" t="s">
        <v>20</v>
      </c>
      <c r="W107" s="11" t="s">
        <v>20</v>
      </c>
      <c r="X107" s="11" t="s">
        <v>211</v>
      </c>
      <c r="Y107" s="11"/>
    </row>
    <row r="108">
      <c r="A108" s="26" t="s">
        <v>979</v>
      </c>
      <c r="B108" s="26" t="s">
        <v>980</v>
      </c>
      <c r="C108" s="26" t="s">
        <v>538</v>
      </c>
      <c r="D108" s="4">
        <v>0.0</v>
      </c>
    </row>
    <row r="109">
      <c r="A109" s="26" t="s">
        <v>981</v>
      </c>
      <c r="B109" s="26" t="s">
        <v>982</v>
      </c>
      <c r="C109" s="26" t="s">
        <v>694</v>
      </c>
      <c r="D109" s="4">
        <v>0.0</v>
      </c>
    </row>
    <row r="110">
      <c r="A110" s="26" t="s">
        <v>983</v>
      </c>
      <c r="B110" s="26" t="s">
        <v>984</v>
      </c>
      <c r="C110" s="26" t="s">
        <v>758</v>
      </c>
      <c r="D110" s="4">
        <v>0.0</v>
      </c>
    </row>
    <row r="111">
      <c r="A111" s="26" t="s">
        <v>506</v>
      </c>
      <c r="B111" s="26" t="s">
        <v>985</v>
      </c>
      <c r="C111" s="26" t="s">
        <v>758</v>
      </c>
      <c r="D111" s="11" t="s">
        <v>500</v>
      </c>
      <c r="E111" s="11" t="s">
        <v>501</v>
      </c>
      <c r="F111" s="11" t="s">
        <v>502</v>
      </c>
      <c r="G111" s="11" t="s">
        <v>503</v>
      </c>
      <c r="H111" s="11" t="s">
        <v>504</v>
      </c>
      <c r="I111" s="11" t="s">
        <v>15</v>
      </c>
      <c r="J111" s="11" t="s">
        <v>16</v>
      </c>
      <c r="K111" s="11" t="s">
        <v>505</v>
      </c>
      <c r="L111" s="11" t="s">
        <v>506</v>
      </c>
      <c r="M111" s="11" t="s">
        <v>20</v>
      </c>
      <c r="N111" s="11" t="s">
        <v>20</v>
      </c>
      <c r="O111" s="11" t="s">
        <v>507</v>
      </c>
      <c r="P111" s="11" t="s">
        <v>20</v>
      </c>
      <c r="Q111" s="11" t="s">
        <v>20</v>
      </c>
      <c r="R111" s="11" t="s">
        <v>20</v>
      </c>
      <c r="S111" s="11" t="s">
        <v>20</v>
      </c>
      <c r="T111" s="11" t="s">
        <v>140</v>
      </c>
      <c r="U111" s="11" t="s">
        <v>20</v>
      </c>
      <c r="V111" s="11" t="s">
        <v>20</v>
      </c>
      <c r="W111" s="11" t="s">
        <v>20</v>
      </c>
      <c r="X111" s="11" t="s">
        <v>508</v>
      </c>
      <c r="Y111" s="11"/>
    </row>
    <row r="112">
      <c r="A112" s="26" t="s">
        <v>986</v>
      </c>
      <c r="B112" s="26" t="s">
        <v>987</v>
      </c>
      <c r="C112" s="26" t="s">
        <v>591</v>
      </c>
      <c r="D112" s="11" t="s">
        <v>988</v>
      </c>
      <c r="E112" s="11" t="s">
        <v>989</v>
      </c>
      <c r="F112" s="11" t="s">
        <v>990</v>
      </c>
      <c r="G112" s="11" t="s">
        <v>991</v>
      </c>
      <c r="H112" s="11" t="s">
        <v>992</v>
      </c>
      <c r="I112" s="11" t="s">
        <v>15</v>
      </c>
      <c r="J112" s="11" t="s">
        <v>583</v>
      </c>
      <c r="K112" s="11" t="s">
        <v>987</v>
      </c>
      <c r="L112" s="11" t="s">
        <v>986</v>
      </c>
      <c r="M112" s="11" t="s">
        <v>993</v>
      </c>
      <c r="N112" s="11" t="s">
        <v>20</v>
      </c>
      <c r="O112" s="11" t="s">
        <v>994</v>
      </c>
      <c r="P112" s="11" t="s">
        <v>995</v>
      </c>
      <c r="Q112" s="11" t="s">
        <v>20</v>
      </c>
      <c r="R112" s="11" t="s">
        <v>20</v>
      </c>
      <c r="S112" s="11" t="s">
        <v>20</v>
      </c>
      <c r="T112" s="11" t="s">
        <v>781</v>
      </c>
      <c r="U112" s="11" t="s">
        <v>20</v>
      </c>
      <c r="V112" s="11" t="s">
        <v>20</v>
      </c>
      <c r="W112" s="11" t="s">
        <v>20</v>
      </c>
      <c r="X112" s="11" t="s">
        <v>996</v>
      </c>
      <c r="Y112" s="11"/>
      <c r="Z112" s="11"/>
      <c r="AA112" s="11"/>
      <c r="AB112" s="11"/>
      <c r="AC112" s="11"/>
    </row>
    <row r="113">
      <c r="A113" s="26" t="s">
        <v>997</v>
      </c>
      <c r="B113" s="26" t="s">
        <v>998</v>
      </c>
      <c r="C113" s="26" t="s">
        <v>708</v>
      </c>
      <c r="D113" s="4">
        <v>0.0</v>
      </c>
    </row>
    <row r="114">
      <c r="A114" s="26" t="s">
        <v>999</v>
      </c>
      <c r="B114" s="26" t="s">
        <v>1000</v>
      </c>
      <c r="C114" s="26" t="s">
        <v>577</v>
      </c>
      <c r="D114" s="4">
        <v>0.0</v>
      </c>
    </row>
    <row r="115">
      <c r="A115" s="26" t="s">
        <v>389</v>
      </c>
      <c r="B115" s="26" t="s">
        <v>1001</v>
      </c>
      <c r="C115" s="26" t="s">
        <v>577</v>
      </c>
      <c r="D115" s="11" t="s">
        <v>384</v>
      </c>
      <c r="E115" s="11" t="s">
        <v>385</v>
      </c>
      <c r="F115" s="11" t="s">
        <v>386</v>
      </c>
      <c r="G115" s="11" t="s">
        <v>66</v>
      </c>
      <c r="H115" s="11" t="s">
        <v>387</v>
      </c>
      <c r="I115" s="11" t="s">
        <v>15</v>
      </c>
      <c r="J115" s="11" t="s">
        <v>16</v>
      </c>
      <c r="K115" s="11" t="s">
        <v>388</v>
      </c>
      <c r="L115" s="11" t="s">
        <v>389</v>
      </c>
      <c r="M115" s="11" t="s">
        <v>348</v>
      </c>
      <c r="N115" s="11" t="s">
        <v>20</v>
      </c>
      <c r="O115" s="11" t="s">
        <v>390</v>
      </c>
      <c r="P115" s="11" t="s">
        <v>22</v>
      </c>
      <c r="Q115" s="11" t="s">
        <v>71</v>
      </c>
      <c r="R115" s="11" t="s">
        <v>20</v>
      </c>
      <c r="S115" s="11" t="s">
        <v>20</v>
      </c>
      <c r="T115" s="11" t="s">
        <v>72</v>
      </c>
      <c r="U115" s="11" t="s">
        <v>20</v>
      </c>
      <c r="V115" s="11" t="s">
        <v>20</v>
      </c>
      <c r="W115" s="11" t="s">
        <v>20</v>
      </c>
      <c r="X115" s="11" t="s">
        <v>391</v>
      </c>
      <c r="Y115" s="11"/>
    </row>
    <row r="116">
      <c r="A116" s="26" t="s">
        <v>1002</v>
      </c>
      <c r="B116" s="26" t="s">
        <v>1003</v>
      </c>
      <c r="C116" s="26" t="s">
        <v>758</v>
      </c>
      <c r="D116" s="4">
        <v>0.0</v>
      </c>
    </row>
    <row r="117">
      <c r="A117" s="26" t="s">
        <v>1004</v>
      </c>
      <c r="B117" s="26" t="s">
        <v>1005</v>
      </c>
      <c r="C117" s="26" t="s">
        <v>538</v>
      </c>
      <c r="D117" s="4">
        <v>0.0</v>
      </c>
    </row>
    <row r="118">
      <c r="A118" s="26" t="s">
        <v>1006</v>
      </c>
      <c r="B118" s="26" t="s">
        <v>1007</v>
      </c>
      <c r="C118" s="26" t="s">
        <v>538</v>
      </c>
      <c r="D118" s="4">
        <v>0.0</v>
      </c>
    </row>
    <row r="119">
      <c r="A119" s="26" t="s">
        <v>400</v>
      </c>
      <c r="B119" s="26" t="s">
        <v>1008</v>
      </c>
      <c r="C119" s="26" t="s">
        <v>538</v>
      </c>
      <c r="D119" s="11" t="s">
        <v>394</v>
      </c>
      <c r="E119" s="11" t="s">
        <v>395</v>
      </c>
      <c r="F119" s="11" t="s">
        <v>396</v>
      </c>
      <c r="G119" s="11" t="s">
        <v>397</v>
      </c>
      <c r="H119" s="11" t="s">
        <v>398</v>
      </c>
      <c r="I119" s="11" t="s">
        <v>15</v>
      </c>
      <c r="J119" s="11" t="s">
        <v>16</v>
      </c>
      <c r="K119" s="11" t="s">
        <v>399</v>
      </c>
      <c r="L119" s="11" t="s">
        <v>400</v>
      </c>
      <c r="M119" s="11" t="s">
        <v>348</v>
      </c>
      <c r="N119" s="11" t="s">
        <v>20</v>
      </c>
      <c r="O119" s="11" t="s">
        <v>401</v>
      </c>
      <c r="P119" s="11" t="s">
        <v>22</v>
      </c>
      <c r="Q119" s="11" t="s">
        <v>71</v>
      </c>
      <c r="R119" s="11" t="s">
        <v>20</v>
      </c>
      <c r="S119" s="11" t="s">
        <v>20</v>
      </c>
      <c r="T119" s="11" t="s">
        <v>24</v>
      </c>
      <c r="U119" s="11" t="s">
        <v>20</v>
      </c>
      <c r="V119" s="11" t="s">
        <v>20</v>
      </c>
      <c r="W119" s="11" t="s">
        <v>20</v>
      </c>
      <c r="X119" s="11" t="s">
        <v>402</v>
      </c>
    </row>
    <row r="120">
      <c r="A120" s="26" t="s">
        <v>120</v>
      </c>
      <c r="B120" s="26" t="s">
        <v>1009</v>
      </c>
      <c r="C120" s="26" t="s">
        <v>538</v>
      </c>
      <c r="D120" s="11" t="s">
        <v>114</v>
      </c>
      <c r="E120" s="11" t="s">
        <v>115</v>
      </c>
      <c r="F120" s="11" t="s">
        <v>116</v>
      </c>
      <c r="G120" s="11" t="s">
        <v>117</v>
      </c>
      <c r="H120" s="11" t="s">
        <v>118</v>
      </c>
      <c r="I120" s="11" t="s">
        <v>15</v>
      </c>
      <c r="J120" s="11" t="s">
        <v>16</v>
      </c>
      <c r="K120" s="11" t="s">
        <v>119</v>
      </c>
      <c r="L120" s="11" t="s">
        <v>120</v>
      </c>
      <c r="M120" s="11" t="s">
        <v>121</v>
      </c>
      <c r="N120" s="11" t="s">
        <v>20</v>
      </c>
      <c r="O120" s="11" t="s">
        <v>122</v>
      </c>
      <c r="P120" s="11" t="s">
        <v>123</v>
      </c>
      <c r="Q120" s="11" t="s">
        <v>20</v>
      </c>
      <c r="R120" s="11" t="s">
        <v>20</v>
      </c>
      <c r="S120" s="11" t="s">
        <v>20</v>
      </c>
      <c r="T120" s="11" t="s">
        <v>124</v>
      </c>
      <c r="U120" s="11" t="s">
        <v>20</v>
      </c>
      <c r="V120" s="11" t="s">
        <v>20</v>
      </c>
      <c r="W120" s="11" t="s">
        <v>20</v>
      </c>
      <c r="X120" s="11" t="s">
        <v>125</v>
      </c>
      <c r="Y120" s="11"/>
    </row>
    <row r="121">
      <c r="A121" s="26" t="s">
        <v>1010</v>
      </c>
      <c r="B121" s="26" t="s">
        <v>1011</v>
      </c>
      <c r="C121" s="26" t="s">
        <v>1012</v>
      </c>
      <c r="D121" s="4">
        <v>0.0</v>
      </c>
    </row>
    <row r="122">
      <c r="A122" s="26" t="s">
        <v>1013</v>
      </c>
      <c r="B122" s="26" t="s">
        <v>1014</v>
      </c>
      <c r="C122" s="26" t="s">
        <v>694</v>
      </c>
      <c r="D122" s="4">
        <v>0.0</v>
      </c>
    </row>
    <row r="123">
      <c r="A123" s="26" t="s">
        <v>1015</v>
      </c>
      <c r="B123" s="26" t="s">
        <v>1016</v>
      </c>
      <c r="C123" s="26" t="s">
        <v>694</v>
      </c>
      <c r="D123" s="11" t="s">
        <v>1017</v>
      </c>
      <c r="E123" s="11" t="s">
        <v>1018</v>
      </c>
      <c r="F123" s="11" t="s">
        <v>1019</v>
      </c>
      <c r="G123" s="31">
        <v>46198.0</v>
      </c>
      <c r="H123" s="11" t="s">
        <v>1020</v>
      </c>
      <c r="I123" s="11" t="s">
        <v>15</v>
      </c>
      <c r="J123" s="11" t="s">
        <v>180</v>
      </c>
      <c r="K123" s="11" t="s">
        <v>1021</v>
      </c>
      <c r="L123" s="11" t="s">
        <v>1015</v>
      </c>
      <c r="M123" s="11" t="s">
        <v>1022</v>
      </c>
      <c r="N123" s="11" t="s">
        <v>20</v>
      </c>
      <c r="O123" s="11" t="s">
        <v>1023</v>
      </c>
      <c r="P123" s="11" t="s">
        <v>20</v>
      </c>
      <c r="Q123" s="11" t="s">
        <v>20</v>
      </c>
      <c r="R123" s="11" t="s">
        <v>20</v>
      </c>
      <c r="S123" s="11" t="s">
        <v>20</v>
      </c>
      <c r="T123" s="11" t="s">
        <v>140</v>
      </c>
      <c r="U123" s="11" t="s">
        <v>20</v>
      </c>
      <c r="V123" s="11" t="s">
        <v>20</v>
      </c>
      <c r="W123" s="11" t="s">
        <v>20</v>
      </c>
      <c r="X123" s="11" t="s">
        <v>1024</v>
      </c>
    </row>
    <row r="124">
      <c r="A124" s="26" t="s">
        <v>1025</v>
      </c>
      <c r="B124" s="26" t="s">
        <v>1026</v>
      </c>
      <c r="C124" s="26" t="s">
        <v>577</v>
      </c>
      <c r="D124" s="11" t="s">
        <v>1027</v>
      </c>
      <c r="E124" s="11" t="s">
        <v>1028</v>
      </c>
      <c r="F124" s="11" t="s">
        <v>1029</v>
      </c>
      <c r="G124" s="11" t="s">
        <v>1030</v>
      </c>
      <c r="H124" s="11" t="s">
        <v>1031</v>
      </c>
      <c r="I124" s="11" t="s">
        <v>15</v>
      </c>
      <c r="J124" s="11" t="s">
        <v>583</v>
      </c>
      <c r="K124" s="11" t="s">
        <v>1032</v>
      </c>
      <c r="L124" s="11" t="s">
        <v>1025</v>
      </c>
      <c r="M124" s="11" t="s">
        <v>1033</v>
      </c>
      <c r="N124" s="11" t="s">
        <v>20</v>
      </c>
      <c r="O124" s="11" t="s">
        <v>1034</v>
      </c>
      <c r="P124" s="11" t="s">
        <v>20</v>
      </c>
      <c r="Q124" s="11" t="s">
        <v>20</v>
      </c>
      <c r="R124" s="11" t="s">
        <v>20</v>
      </c>
      <c r="S124" s="11" t="s">
        <v>20</v>
      </c>
      <c r="T124" s="11" t="s">
        <v>185</v>
      </c>
      <c r="U124" s="11" t="s">
        <v>20</v>
      </c>
      <c r="V124" s="11" t="s">
        <v>20</v>
      </c>
      <c r="W124" s="11" t="s">
        <v>20</v>
      </c>
      <c r="X124" s="11" t="s">
        <v>924</v>
      </c>
      <c r="Y124" s="11"/>
      <c r="Z124" s="11"/>
      <c r="AA124" s="11"/>
      <c r="AB124" s="11"/>
      <c r="AC124" s="11"/>
    </row>
    <row r="125">
      <c r="D125" s="10" t="s">
        <v>1035</v>
      </c>
      <c r="E125" s="11" t="s">
        <v>1036</v>
      </c>
      <c r="F125" s="11" t="s">
        <v>1037</v>
      </c>
      <c r="G125" s="11" t="s">
        <v>1038</v>
      </c>
      <c r="H125" s="11" t="s">
        <v>1039</v>
      </c>
      <c r="I125" s="11" t="s">
        <v>15</v>
      </c>
      <c r="J125" s="11" t="s">
        <v>560</v>
      </c>
      <c r="K125" s="11" t="s">
        <v>1040</v>
      </c>
      <c r="L125" s="11" t="s">
        <v>1025</v>
      </c>
      <c r="M125" s="11" t="s">
        <v>1033</v>
      </c>
      <c r="N125" s="11" t="s">
        <v>20</v>
      </c>
      <c r="O125" s="11" t="s">
        <v>1034</v>
      </c>
      <c r="P125" s="11" t="s">
        <v>20</v>
      </c>
      <c r="Q125" s="11" t="s">
        <v>20</v>
      </c>
      <c r="R125" s="11" t="s">
        <v>20</v>
      </c>
      <c r="S125" s="11" t="s">
        <v>20</v>
      </c>
      <c r="T125" s="11" t="s">
        <v>185</v>
      </c>
      <c r="U125" s="11" t="s">
        <v>20</v>
      </c>
      <c r="V125" s="11" t="s">
        <v>20</v>
      </c>
      <c r="W125" s="11" t="s">
        <v>20</v>
      </c>
      <c r="X125" s="11" t="s">
        <v>924</v>
      </c>
      <c r="Y125" s="11"/>
      <c r="Z125" s="11"/>
      <c r="AA125" s="11"/>
      <c r="AB125" s="11"/>
      <c r="AC125" s="11"/>
    </row>
    <row r="126">
      <c r="A126" s="26" t="s">
        <v>1041</v>
      </c>
      <c r="B126" s="26" t="s">
        <v>1042</v>
      </c>
      <c r="C126" s="26" t="s">
        <v>577</v>
      </c>
      <c r="D126" s="4">
        <v>0.0</v>
      </c>
    </row>
    <row r="127">
      <c r="A127" s="26" t="s">
        <v>1043</v>
      </c>
      <c r="B127" s="26" t="s">
        <v>1044</v>
      </c>
      <c r="C127" s="27"/>
      <c r="D127" s="4">
        <v>0.0</v>
      </c>
    </row>
    <row r="128">
      <c r="A128" s="26" t="s">
        <v>1045</v>
      </c>
      <c r="B128" s="26" t="s">
        <v>1046</v>
      </c>
      <c r="C128" s="26" t="s">
        <v>1047</v>
      </c>
      <c r="D128" s="11" t="s">
        <v>1048</v>
      </c>
      <c r="E128" s="11" t="s">
        <v>1049</v>
      </c>
      <c r="F128" s="11" t="s">
        <v>1050</v>
      </c>
      <c r="G128" s="11" t="s">
        <v>1051</v>
      </c>
      <c r="H128" s="11" t="s">
        <v>1052</v>
      </c>
      <c r="I128" s="11" t="s">
        <v>15</v>
      </c>
      <c r="J128" s="11" t="s">
        <v>1053</v>
      </c>
      <c r="K128" s="11" t="s">
        <v>1054</v>
      </c>
      <c r="L128" s="11" t="s">
        <v>1045</v>
      </c>
      <c r="M128" s="11" t="s">
        <v>1055</v>
      </c>
      <c r="N128" s="11" t="s">
        <v>20</v>
      </c>
      <c r="O128" s="11" t="s">
        <v>1056</v>
      </c>
      <c r="P128" s="11" t="s">
        <v>20</v>
      </c>
      <c r="Q128" s="11" t="s">
        <v>20</v>
      </c>
      <c r="R128" s="11" t="s">
        <v>20</v>
      </c>
      <c r="S128" s="11" t="s">
        <v>20</v>
      </c>
      <c r="T128" s="11" t="s">
        <v>1057</v>
      </c>
      <c r="U128" s="11" t="s">
        <v>20</v>
      </c>
      <c r="V128" s="11" t="s">
        <v>20</v>
      </c>
      <c r="W128" s="11" t="s">
        <v>20</v>
      </c>
      <c r="X128" s="11" t="s">
        <v>1058</v>
      </c>
      <c r="Y128" s="11"/>
      <c r="Z128" s="11"/>
      <c r="AA128" s="11"/>
      <c r="AB128" s="11"/>
      <c r="AC128" s="11"/>
    </row>
    <row r="129">
      <c r="D129" s="11" t="s">
        <v>1059</v>
      </c>
      <c r="E129" s="11" t="s">
        <v>1060</v>
      </c>
      <c r="F129" s="11" t="s">
        <v>1061</v>
      </c>
      <c r="G129" s="11" t="s">
        <v>1062</v>
      </c>
      <c r="H129" s="11" t="s">
        <v>1063</v>
      </c>
      <c r="I129" s="11" t="s">
        <v>15</v>
      </c>
      <c r="J129" s="11" t="s">
        <v>1053</v>
      </c>
      <c r="K129" s="11" t="s">
        <v>1064</v>
      </c>
      <c r="L129" s="11" t="s">
        <v>1065</v>
      </c>
      <c r="M129" s="11" t="s">
        <v>20</v>
      </c>
      <c r="N129" s="11" t="s">
        <v>20</v>
      </c>
      <c r="O129" s="11" t="s">
        <v>20</v>
      </c>
      <c r="P129" s="11" t="s">
        <v>20</v>
      </c>
      <c r="Q129" s="11" t="s">
        <v>20</v>
      </c>
      <c r="R129" s="11" t="s">
        <v>20</v>
      </c>
      <c r="S129" s="11" t="s">
        <v>20</v>
      </c>
      <c r="T129" s="11" t="s">
        <v>20</v>
      </c>
      <c r="U129" s="11" t="s">
        <v>20</v>
      </c>
      <c r="V129" s="11" t="s">
        <v>20</v>
      </c>
      <c r="W129" s="11" t="s">
        <v>20</v>
      </c>
      <c r="X129" s="11" t="s">
        <v>1058</v>
      </c>
      <c r="Y129" s="11"/>
      <c r="Z129" s="11"/>
      <c r="AA129" s="11"/>
      <c r="AB129" s="11"/>
      <c r="AC129" s="11"/>
    </row>
    <row r="130">
      <c r="A130" s="26" t="s">
        <v>1066</v>
      </c>
      <c r="B130" s="26" t="s">
        <v>1067</v>
      </c>
      <c r="C130" s="26" t="s">
        <v>538</v>
      </c>
      <c r="D130" s="4">
        <v>0.0</v>
      </c>
    </row>
    <row r="131">
      <c r="A131" s="26" t="s">
        <v>1068</v>
      </c>
      <c r="B131" s="26" t="s">
        <v>1069</v>
      </c>
      <c r="C131" s="26" t="s">
        <v>708</v>
      </c>
      <c r="D131" s="11" t="s">
        <v>1070</v>
      </c>
      <c r="E131" s="11" t="s">
        <v>1071</v>
      </c>
      <c r="F131" s="33">
        <v>4.0E-164</v>
      </c>
      <c r="G131" s="11" t="s">
        <v>1072</v>
      </c>
      <c r="H131" s="11" t="s">
        <v>1073</v>
      </c>
      <c r="I131" s="11" t="s">
        <v>15</v>
      </c>
      <c r="J131" s="11" t="s">
        <v>16</v>
      </c>
      <c r="K131" s="11" t="s">
        <v>1074</v>
      </c>
      <c r="L131" s="11" t="s">
        <v>1068</v>
      </c>
      <c r="M131" s="11" t="s">
        <v>1075</v>
      </c>
      <c r="N131" s="11" t="s">
        <v>20</v>
      </c>
      <c r="O131" s="11" t="s">
        <v>1076</v>
      </c>
      <c r="P131" s="11" t="s">
        <v>20</v>
      </c>
      <c r="Q131" s="11" t="s">
        <v>20</v>
      </c>
      <c r="R131" s="11" t="s">
        <v>1077</v>
      </c>
      <c r="S131" s="11" t="s">
        <v>1078</v>
      </c>
      <c r="T131" s="11" t="s">
        <v>1079</v>
      </c>
      <c r="U131" s="11" t="s">
        <v>20</v>
      </c>
      <c r="V131" s="11" t="s">
        <v>20</v>
      </c>
      <c r="W131" s="11" t="s">
        <v>20</v>
      </c>
      <c r="X131" s="11" t="s">
        <v>1080</v>
      </c>
      <c r="Y131" s="11"/>
      <c r="Z131" s="11"/>
      <c r="AA131" s="11"/>
      <c r="AB131" s="11"/>
      <c r="AC131" s="11"/>
    </row>
    <row r="132">
      <c r="A132" s="26" t="s">
        <v>1081</v>
      </c>
      <c r="B132" s="26" t="s">
        <v>1082</v>
      </c>
      <c r="C132" s="27"/>
      <c r="D132" s="11" t="s">
        <v>1083</v>
      </c>
      <c r="E132" s="11" t="s">
        <v>1084</v>
      </c>
      <c r="F132" s="11" t="s">
        <v>1085</v>
      </c>
      <c r="G132" s="11" t="s">
        <v>1086</v>
      </c>
      <c r="H132" s="11" t="s">
        <v>1087</v>
      </c>
      <c r="I132" s="11" t="s">
        <v>15</v>
      </c>
      <c r="J132" s="11" t="s">
        <v>674</v>
      </c>
      <c r="K132" s="11" t="s">
        <v>1088</v>
      </c>
      <c r="L132" s="11" t="s">
        <v>1081</v>
      </c>
      <c r="M132" s="11" t="s">
        <v>1089</v>
      </c>
      <c r="N132" s="11" t="s">
        <v>20</v>
      </c>
      <c r="O132" s="11" t="s">
        <v>20</v>
      </c>
      <c r="P132" s="11" t="s">
        <v>20</v>
      </c>
      <c r="Q132" s="11" t="s">
        <v>20</v>
      </c>
      <c r="R132" s="11" t="s">
        <v>20</v>
      </c>
      <c r="S132" s="11" t="s">
        <v>20</v>
      </c>
      <c r="T132" s="11" t="s">
        <v>20</v>
      </c>
      <c r="U132" s="11" t="s">
        <v>20</v>
      </c>
      <c r="V132" s="11" t="s">
        <v>20</v>
      </c>
      <c r="W132" s="11" t="s">
        <v>20</v>
      </c>
      <c r="X132" s="11" t="s">
        <v>1090</v>
      </c>
      <c r="Y132" s="11"/>
      <c r="Z132" s="11"/>
      <c r="AA132" s="11"/>
      <c r="AB132" s="11"/>
      <c r="AC132" s="11"/>
    </row>
    <row r="133">
      <c r="A133" s="26" t="s">
        <v>1091</v>
      </c>
      <c r="B133" s="26" t="s">
        <v>1092</v>
      </c>
      <c r="C133" s="26" t="s">
        <v>591</v>
      </c>
      <c r="D133" s="11" t="s">
        <v>1093</v>
      </c>
      <c r="E133" s="11" t="s">
        <v>1094</v>
      </c>
      <c r="F133" s="11" t="s">
        <v>1095</v>
      </c>
      <c r="G133" s="11" t="s">
        <v>1096</v>
      </c>
      <c r="H133" s="11" t="s">
        <v>1097</v>
      </c>
      <c r="I133" s="11" t="s">
        <v>15</v>
      </c>
      <c r="J133" s="11" t="s">
        <v>16</v>
      </c>
      <c r="K133" s="11" t="s">
        <v>388</v>
      </c>
      <c r="L133" s="11" t="s">
        <v>1091</v>
      </c>
      <c r="M133" s="11" t="s">
        <v>1098</v>
      </c>
      <c r="N133" s="11" t="s">
        <v>20</v>
      </c>
      <c r="O133" s="11" t="s">
        <v>1099</v>
      </c>
      <c r="P133" s="11" t="s">
        <v>20</v>
      </c>
      <c r="Q133" s="11" t="s">
        <v>20</v>
      </c>
      <c r="R133" s="11" t="s">
        <v>20</v>
      </c>
      <c r="S133" s="11" t="s">
        <v>20</v>
      </c>
      <c r="T133" s="11" t="s">
        <v>1100</v>
      </c>
      <c r="U133" s="11" t="s">
        <v>20</v>
      </c>
      <c r="V133" s="11" t="s">
        <v>20</v>
      </c>
      <c r="W133" s="11" t="s">
        <v>20</v>
      </c>
      <c r="X133" s="11" t="s">
        <v>1101</v>
      </c>
      <c r="Y133" s="11"/>
      <c r="Z133" s="11"/>
      <c r="AA133" s="11"/>
      <c r="AB133" s="11"/>
      <c r="AC133" s="11"/>
    </row>
    <row r="134">
      <c r="A134" s="26" t="s">
        <v>1102</v>
      </c>
      <c r="B134" s="26" t="s">
        <v>1103</v>
      </c>
      <c r="C134" s="26" t="s">
        <v>694</v>
      </c>
      <c r="D134" s="4">
        <v>0.0</v>
      </c>
    </row>
    <row r="135">
      <c r="A135" s="26" t="s">
        <v>1104</v>
      </c>
      <c r="B135" s="26" t="s">
        <v>1105</v>
      </c>
      <c r="C135" s="26" t="s">
        <v>538</v>
      </c>
      <c r="D135" s="4">
        <v>0.0</v>
      </c>
    </row>
    <row r="136">
      <c r="A136" s="26" t="s">
        <v>1106</v>
      </c>
      <c r="B136" s="26" t="s">
        <v>1107</v>
      </c>
      <c r="C136" s="26" t="s">
        <v>1108</v>
      </c>
      <c r="D136" s="11" t="s">
        <v>1109</v>
      </c>
      <c r="E136" s="11" t="s">
        <v>1110</v>
      </c>
      <c r="F136" s="11" t="s">
        <v>1111</v>
      </c>
      <c r="G136" s="11" t="s">
        <v>1112</v>
      </c>
      <c r="H136" s="11" t="s">
        <v>1113</v>
      </c>
      <c r="I136" s="11" t="s">
        <v>15</v>
      </c>
      <c r="J136" s="11" t="s">
        <v>16</v>
      </c>
      <c r="K136" s="11" t="s">
        <v>1114</v>
      </c>
      <c r="L136" s="11" t="s">
        <v>1106</v>
      </c>
      <c r="M136" s="11" t="s">
        <v>1115</v>
      </c>
      <c r="N136" s="11" t="s">
        <v>20</v>
      </c>
      <c r="O136" s="11" t="s">
        <v>1116</v>
      </c>
      <c r="P136" s="11" t="s">
        <v>20</v>
      </c>
      <c r="Q136" s="11" t="s">
        <v>20</v>
      </c>
      <c r="R136" s="11" t="s">
        <v>1077</v>
      </c>
      <c r="S136" s="11" t="s">
        <v>1078</v>
      </c>
      <c r="T136" s="11" t="s">
        <v>1117</v>
      </c>
      <c r="U136" s="11" t="s">
        <v>20</v>
      </c>
      <c r="V136" s="11" t="s">
        <v>20</v>
      </c>
      <c r="W136" s="11" t="s">
        <v>20</v>
      </c>
      <c r="X136" s="11" t="s">
        <v>1118</v>
      </c>
      <c r="Y136" s="11"/>
      <c r="Z136" s="11"/>
      <c r="AA136" s="11"/>
      <c r="AB136" s="11"/>
      <c r="AC136" s="11"/>
    </row>
    <row r="137">
      <c r="D137" s="11" t="s">
        <v>1119</v>
      </c>
      <c r="E137" s="11" t="s">
        <v>1120</v>
      </c>
      <c r="F137" s="11" t="s">
        <v>1121</v>
      </c>
      <c r="G137" s="11" t="s">
        <v>1122</v>
      </c>
      <c r="H137" s="11" t="s">
        <v>1123</v>
      </c>
      <c r="I137" s="11" t="s">
        <v>15</v>
      </c>
      <c r="J137" s="11" t="s">
        <v>16</v>
      </c>
      <c r="K137" s="11" t="s">
        <v>1124</v>
      </c>
      <c r="L137" s="11" t="s">
        <v>1106</v>
      </c>
      <c r="M137" s="11" t="s">
        <v>1115</v>
      </c>
      <c r="N137" s="11" t="s">
        <v>20</v>
      </c>
      <c r="O137" s="11" t="s">
        <v>1116</v>
      </c>
      <c r="P137" s="11" t="s">
        <v>20</v>
      </c>
      <c r="Q137" s="11" t="s">
        <v>20</v>
      </c>
      <c r="R137" s="11" t="s">
        <v>1077</v>
      </c>
      <c r="S137" s="11" t="s">
        <v>1078</v>
      </c>
      <c r="T137" s="11" t="s">
        <v>1117</v>
      </c>
      <c r="U137" s="11" t="s">
        <v>20</v>
      </c>
      <c r="V137" s="11" t="s">
        <v>20</v>
      </c>
      <c r="W137" s="11" t="s">
        <v>20</v>
      </c>
      <c r="X137" s="11" t="s">
        <v>1118</v>
      </c>
      <c r="Y137" s="11"/>
      <c r="Z137" s="11"/>
      <c r="AA137" s="11"/>
      <c r="AB137" s="11"/>
      <c r="AC137" s="11"/>
    </row>
    <row r="138">
      <c r="A138" s="26" t="s">
        <v>1125</v>
      </c>
      <c r="B138" s="26" t="s">
        <v>1126</v>
      </c>
      <c r="C138" s="27"/>
      <c r="D138" s="11" t="s">
        <v>1127</v>
      </c>
      <c r="E138" s="11" t="s">
        <v>1128</v>
      </c>
      <c r="F138" s="11" t="s">
        <v>1129</v>
      </c>
      <c r="G138" s="11" t="s">
        <v>1130</v>
      </c>
      <c r="H138" s="11" t="s">
        <v>1131</v>
      </c>
      <c r="I138" s="11" t="s">
        <v>15</v>
      </c>
      <c r="J138" s="11" t="s">
        <v>16</v>
      </c>
      <c r="K138" s="11" t="s">
        <v>1132</v>
      </c>
      <c r="L138" s="11" t="s">
        <v>1125</v>
      </c>
      <c r="M138" s="11" t="s">
        <v>1133</v>
      </c>
      <c r="N138" s="11" t="s">
        <v>1134</v>
      </c>
      <c r="O138" s="11" t="s">
        <v>1135</v>
      </c>
      <c r="P138" s="11" t="s">
        <v>20</v>
      </c>
      <c r="Q138" s="11" t="s">
        <v>20</v>
      </c>
      <c r="R138" s="11" t="s">
        <v>20</v>
      </c>
      <c r="S138" s="11" t="s">
        <v>20</v>
      </c>
      <c r="T138" s="11" t="s">
        <v>1117</v>
      </c>
      <c r="U138" s="11" t="s">
        <v>20</v>
      </c>
      <c r="V138" s="11" t="s">
        <v>20</v>
      </c>
      <c r="W138" s="11" t="s">
        <v>20</v>
      </c>
      <c r="X138" s="11" t="s">
        <v>1136</v>
      </c>
      <c r="Y138" s="11"/>
      <c r="Z138" s="11"/>
      <c r="AA138" s="11"/>
      <c r="AB138" s="11"/>
      <c r="AC138" s="11"/>
    </row>
    <row r="139">
      <c r="D139" s="11" t="s">
        <v>1137</v>
      </c>
      <c r="E139" s="11" t="s">
        <v>1138</v>
      </c>
      <c r="F139" s="11" t="s">
        <v>1139</v>
      </c>
      <c r="G139" s="11" t="s">
        <v>1140</v>
      </c>
      <c r="H139" s="11" t="s">
        <v>1141</v>
      </c>
      <c r="I139" s="11" t="s">
        <v>15</v>
      </c>
      <c r="J139" s="11" t="s">
        <v>16</v>
      </c>
      <c r="K139" s="11" t="s">
        <v>1132</v>
      </c>
      <c r="L139" s="11" t="s">
        <v>1125</v>
      </c>
      <c r="M139" s="11" t="s">
        <v>1133</v>
      </c>
      <c r="N139" s="11" t="s">
        <v>1134</v>
      </c>
      <c r="O139" s="11" t="s">
        <v>1135</v>
      </c>
      <c r="P139" s="11" t="s">
        <v>20</v>
      </c>
      <c r="Q139" s="11" t="s">
        <v>20</v>
      </c>
      <c r="R139" s="11" t="s">
        <v>20</v>
      </c>
      <c r="S139" s="11" t="s">
        <v>20</v>
      </c>
      <c r="T139" s="11" t="s">
        <v>1117</v>
      </c>
      <c r="U139" s="11" t="s">
        <v>20</v>
      </c>
      <c r="V139" s="11" t="s">
        <v>20</v>
      </c>
      <c r="W139" s="11" t="s">
        <v>20</v>
      </c>
      <c r="X139" s="11" t="s">
        <v>1136</v>
      </c>
      <c r="Y139" s="11"/>
      <c r="Z139" s="11"/>
      <c r="AA139" s="11"/>
      <c r="AB139" s="11"/>
      <c r="AC139" s="11"/>
    </row>
    <row r="140">
      <c r="A140" s="26" t="s">
        <v>1142</v>
      </c>
      <c r="B140" s="26" t="s">
        <v>1143</v>
      </c>
      <c r="C140" s="26" t="s">
        <v>694</v>
      </c>
      <c r="D140" s="11" t="s">
        <v>1144</v>
      </c>
      <c r="E140" s="11" t="s">
        <v>1145</v>
      </c>
      <c r="F140" s="11" t="s">
        <v>1146</v>
      </c>
      <c r="G140" s="11" t="s">
        <v>1147</v>
      </c>
      <c r="H140" s="11" t="s">
        <v>1148</v>
      </c>
      <c r="I140" s="11" t="s">
        <v>15</v>
      </c>
      <c r="J140" s="11" t="s">
        <v>180</v>
      </c>
      <c r="K140" s="11" t="s">
        <v>1149</v>
      </c>
      <c r="L140" s="11" t="s">
        <v>1142</v>
      </c>
      <c r="M140" s="11" t="s">
        <v>1150</v>
      </c>
      <c r="N140" s="11" t="s">
        <v>1151</v>
      </c>
      <c r="O140" s="11" t="s">
        <v>1152</v>
      </c>
      <c r="P140" s="11" t="s">
        <v>1153</v>
      </c>
      <c r="Q140" s="11" t="s">
        <v>20</v>
      </c>
      <c r="R140" s="11" t="s">
        <v>1154</v>
      </c>
      <c r="S140" s="11" t="s">
        <v>1155</v>
      </c>
      <c r="T140" s="11" t="s">
        <v>605</v>
      </c>
      <c r="U140" s="11" t="s">
        <v>20</v>
      </c>
      <c r="V140" s="11" t="s">
        <v>20</v>
      </c>
      <c r="W140" s="11" t="s">
        <v>20</v>
      </c>
      <c r="X140" s="11" t="s">
        <v>1156</v>
      </c>
      <c r="Y140" s="11"/>
      <c r="Z140" s="11"/>
      <c r="AA140" s="11"/>
      <c r="AB140" s="11"/>
      <c r="AC140" s="11"/>
    </row>
    <row r="141">
      <c r="A141" s="26" t="s">
        <v>1157</v>
      </c>
      <c r="B141" s="26" t="s">
        <v>1158</v>
      </c>
      <c r="C141" s="26" t="s">
        <v>538</v>
      </c>
      <c r="D141" s="4">
        <v>0.0</v>
      </c>
    </row>
    <row r="142">
      <c r="A142" s="26" t="s">
        <v>1159</v>
      </c>
      <c r="B142" s="26" t="s">
        <v>1160</v>
      </c>
      <c r="C142" s="26" t="s">
        <v>577</v>
      </c>
      <c r="D142" s="4">
        <v>0.0</v>
      </c>
    </row>
    <row r="143">
      <c r="A143" s="26" t="s">
        <v>1161</v>
      </c>
      <c r="B143" s="26" t="s">
        <v>1162</v>
      </c>
      <c r="C143" s="26" t="s">
        <v>569</v>
      </c>
      <c r="D143" s="4">
        <v>0.0</v>
      </c>
    </row>
    <row r="144">
      <c r="A144" s="26" t="s">
        <v>1163</v>
      </c>
      <c r="B144" s="26" t="s">
        <v>1164</v>
      </c>
      <c r="C144" s="26" t="s">
        <v>1165</v>
      </c>
      <c r="D144" s="11" t="s">
        <v>1166</v>
      </c>
      <c r="E144" s="11" t="s">
        <v>1167</v>
      </c>
      <c r="F144" s="11" t="s">
        <v>1168</v>
      </c>
      <c r="G144" s="14">
        <v>46290.0</v>
      </c>
      <c r="H144" s="11" t="s">
        <v>1169</v>
      </c>
      <c r="I144" s="11" t="s">
        <v>15</v>
      </c>
      <c r="J144" s="11" t="s">
        <v>560</v>
      </c>
      <c r="K144" s="11" t="s">
        <v>1170</v>
      </c>
      <c r="L144" s="11" t="s">
        <v>1163</v>
      </c>
      <c r="M144" s="11" t="s">
        <v>1171</v>
      </c>
      <c r="N144" s="11" t="s">
        <v>20</v>
      </c>
      <c r="O144" s="11" t="s">
        <v>20</v>
      </c>
      <c r="P144" s="11" t="s">
        <v>20</v>
      </c>
      <c r="Q144" s="11" t="s">
        <v>20</v>
      </c>
      <c r="R144" s="11" t="s">
        <v>20</v>
      </c>
      <c r="S144" s="11" t="s">
        <v>20</v>
      </c>
      <c r="T144" s="11" t="s">
        <v>20</v>
      </c>
      <c r="U144" s="11" t="s">
        <v>20</v>
      </c>
      <c r="V144" s="11" t="s">
        <v>20</v>
      </c>
      <c r="W144" s="11" t="s">
        <v>20</v>
      </c>
      <c r="X144" s="11" t="s">
        <v>1172</v>
      </c>
      <c r="Y144" s="11"/>
      <c r="Z144" s="11"/>
      <c r="AA144" s="11"/>
      <c r="AB144" s="11"/>
      <c r="AC144" s="11"/>
    </row>
    <row r="145">
      <c r="A145" s="26" t="s">
        <v>1173</v>
      </c>
      <c r="B145" s="26" t="s">
        <v>1174</v>
      </c>
      <c r="C145" s="26" t="s">
        <v>538</v>
      </c>
      <c r="D145" s="4">
        <v>0.0</v>
      </c>
    </row>
    <row r="146">
      <c r="A146" s="19"/>
      <c r="B146" s="19"/>
      <c r="C146" s="19"/>
      <c r="D146" s="5"/>
    </row>
    <row r="147">
      <c r="A147" s="19"/>
      <c r="B147" s="19"/>
      <c r="C147" s="19"/>
      <c r="D147" s="5"/>
    </row>
    <row r="148">
      <c r="A148" s="19"/>
      <c r="B148" s="19"/>
      <c r="C148" s="19"/>
      <c r="D148" s="5"/>
    </row>
    <row r="149">
      <c r="A149" s="19"/>
      <c r="B149" s="19"/>
      <c r="C149" s="19"/>
      <c r="D149" s="5"/>
    </row>
    <row r="150">
      <c r="A150" s="19"/>
      <c r="B150" s="19"/>
      <c r="C150" s="19"/>
      <c r="D150" s="5"/>
    </row>
    <row r="151">
      <c r="A151" s="19"/>
      <c r="B151" s="19"/>
      <c r="C151" s="19"/>
      <c r="D151" s="5"/>
    </row>
    <row r="152">
      <c r="A152" s="19"/>
      <c r="B152" s="19"/>
      <c r="C152" s="19"/>
      <c r="D152" s="5"/>
    </row>
    <row r="153">
      <c r="A153" s="19"/>
      <c r="B153" s="19"/>
      <c r="C153" s="19"/>
      <c r="D153" s="5"/>
    </row>
    <row r="154">
      <c r="A154" s="19"/>
      <c r="B154" s="19"/>
      <c r="C154" s="19"/>
      <c r="D154" s="5"/>
    </row>
    <row r="155">
      <c r="A155" s="19"/>
      <c r="B155" s="19"/>
      <c r="C155" s="19"/>
      <c r="D155" s="5"/>
    </row>
    <row r="156">
      <c r="A156" s="19"/>
      <c r="B156" s="19"/>
      <c r="C156" s="19"/>
      <c r="D156" s="5"/>
    </row>
    <row r="157">
      <c r="A157" s="19"/>
      <c r="B157" s="19"/>
      <c r="C157" s="19"/>
      <c r="D157" s="5"/>
    </row>
    <row r="158">
      <c r="A158" s="19"/>
      <c r="B158" s="19"/>
      <c r="C158" s="19"/>
      <c r="D158" s="5"/>
    </row>
    <row r="159">
      <c r="A159" s="19"/>
      <c r="B159" s="19"/>
      <c r="C159" s="19"/>
      <c r="D159" s="5"/>
    </row>
    <row r="160">
      <c r="A160" s="19"/>
      <c r="B160" s="19"/>
      <c r="C160" s="19"/>
      <c r="D160" s="5"/>
    </row>
    <row r="161">
      <c r="A161" s="19"/>
      <c r="B161" s="19"/>
      <c r="C161" s="19"/>
      <c r="D161" s="5"/>
    </row>
    <row r="162">
      <c r="A162" s="19"/>
      <c r="B162" s="19"/>
      <c r="C162" s="19"/>
      <c r="D162" s="5"/>
    </row>
    <row r="163">
      <c r="A163" s="19"/>
      <c r="B163" s="19"/>
      <c r="C163" s="19"/>
      <c r="D163" s="5"/>
    </row>
    <row r="164">
      <c r="A164" s="19"/>
      <c r="B164" s="19"/>
      <c r="C164" s="19"/>
      <c r="D164" s="5"/>
    </row>
    <row r="165">
      <c r="A165" s="19"/>
      <c r="B165" s="19"/>
      <c r="C165" s="19"/>
      <c r="D165" s="5"/>
    </row>
    <row r="166">
      <c r="A166" s="19"/>
      <c r="B166" s="19"/>
      <c r="C166" s="19"/>
      <c r="D166" s="5"/>
    </row>
    <row r="167">
      <c r="A167" s="19"/>
      <c r="B167" s="19"/>
      <c r="C167" s="19"/>
      <c r="D167" s="5"/>
    </row>
    <row r="168">
      <c r="A168" s="19"/>
      <c r="B168" s="19"/>
      <c r="C168" s="19"/>
      <c r="D168" s="5"/>
    </row>
    <row r="169">
      <c r="A169" s="19"/>
      <c r="B169" s="19"/>
      <c r="C169" s="19"/>
      <c r="D169" s="5"/>
    </row>
    <row r="170">
      <c r="A170" s="19"/>
      <c r="B170" s="19"/>
      <c r="C170" s="19"/>
      <c r="D170" s="5"/>
    </row>
    <row r="171">
      <c r="A171" s="19"/>
      <c r="B171" s="19"/>
      <c r="C171" s="19"/>
      <c r="D171" s="5"/>
    </row>
    <row r="172">
      <c r="A172" s="19"/>
      <c r="B172" s="19"/>
      <c r="C172" s="19"/>
      <c r="D172" s="5"/>
    </row>
    <row r="173">
      <c r="A173" s="19"/>
      <c r="B173" s="19"/>
      <c r="C173" s="19"/>
      <c r="D173" s="5"/>
    </row>
    <row r="174">
      <c r="A174" s="19"/>
      <c r="B174" s="19"/>
      <c r="C174" s="19"/>
      <c r="D174" s="5"/>
    </row>
    <row r="175">
      <c r="A175" s="19"/>
      <c r="B175" s="19"/>
      <c r="C175" s="19"/>
      <c r="D175" s="5"/>
    </row>
    <row r="176">
      <c r="A176" s="19"/>
      <c r="B176" s="19"/>
      <c r="C176" s="19"/>
      <c r="D176" s="5"/>
    </row>
    <row r="177">
      <c r="A177" s="19"/>
      <c r="B177" s="19"/>
      <c r="C177" s="19"/>
      <c r="D177" s="5"/>
    </row>
    <row r="178">
      <c r="A178" s="19"/>
      <c r="B178" s="19"/>
      <c r="C178" s="19"/>
      <c r="D178" s="5"/>
    </row>
    <row r="179">
      <c r="A179" s="19"/>
      <c r="B179" s="19"/>
      <c r="C179" s="19"/>
      <c r="D179" s="5"/>
    </row>
    <row r="180">
      <c r="A180" s="19"/>
      <c r="B180" s="19"/>
      <c r="C180" s="19"/>
      <c r="D180" s="5"/>
    </row>
    <row r="181">
      <c r="A181" s="19"/>
      <c r="B181" s="19"/>
      <c r="C181" s="19"/>
      <c r="D181" s="5"/>
    </row>
    <row r="182">
      <c r="A182" s="19"/>
      <c r="B182" s="19"/>
      <c r="C182" s="19"/>
      <c r="D182" s="5"/>
    </row>
    <row r="183">
      <c r="A183" s="19"/>
      <c r="B183" s="19"/>
      <c r="C183" s="19"/>
      <c r="D183" s="5"/>
    </row>
    <row r="184">
      <c r="A184" s="19"/>
      <c r="B184" s="19"/>
      <c r="C184" s="19"/>
      <c r="D184" s="5"/>
    </row>
    <row r="185">
      <c r="A185" s="19"/>
      <c r="B185" s="19"/>
      <c r="C185" s="19"/>
      <c r="D185" s="5"/>
    </row>
    <row r="186">
      <c r="A186" s="19"/>
      <c r="B186" s="19"/>
      <c r="C186" s="19"/>
      <c r="D186" s="5"/>
    </row>
    <row r="187">
      <c r="A187" s="19"/>
      <c r="B187" s="19"/>
      <c r="C187" s="19"/>
      <c r="D187" s="5"/>
    </row>
    <row r="188">
      <c r="A188" s="19"/>
      <c r="B188" s="19"/>
      <c r="C188" s="19"/>
      <c r="D188" s="5"/>
    </row>
    <row r="189">
      <c r="A189" s="19"/>
      <c r="B189" s="19"/>
      <c r="C189" s="19"/>
      <c r="D189" s="5"/>
    </row>
    <row r="190">
      <c r="A190" s="19"/>
      <c r="B190" s="19"/>
      <c r="C190" s="19"/>
      <c r="D190" s="5"/>
    </row>
    <row r="191">
      <c r="A191" s="19"/>
      <c r="B191" s="19"/>
      <c r="C191" s="19"/>
      <c r="D191" s="5"/>
    </row>
    <row r="192">
      <c r="A192" s="19"/>
      <c r="B192" s="19"/>
      <c r="C192" s="19"/>
      <c r="D192" s="5"/>
    </row>
    <row r="193">
      <c r="A193" s="19"/>
      <c r="B193" s="19"/>
      <c r="C193" s="19"/>
      <c r="D193" s="5"/>
    </row>
    <row r="194">
      <c r="A194" s="19"/>
      <c r="B194" s="19"/>
      <c r="C194" s="19"/>
      <c r="D194" s="5"/>
    </row>
    <row r="195">
      <c r="A195" s="19"/>
      <c r="B195" s="19"/>
      <c r="C195" s="19"/>
      <c r="D195" s="5"/>
    </row>
    <row r="196">
      <c r="A196" s="19"/>
      <c r="B196" s="19"/>
      <c r="C196" s="19"/>
      <c r="D196" s="5"/>
    </row>
    <row r="197">
      <c r="A197" s="19"/>
      <c r="B197" s="19"/>
      <c r="C197" s="19"/>
      <c r="D197" s="5"/>
    </row>
    <row r="198">
      <c r="A198" s="19"/>
      <c r="B198" s="19"/>
      <c r="C198" s="19"/>
      <c r="D198" s="5"/>
    </row>
    <row r="199">
      <c r="A199" s="19"/>
      <c r="B199" s="19"/>
      <c r="C199" s="19"/>
      <c r="D199" s="5"/>
    </row>
    <row r="200">
      <c r="A200" s="19"/>
      <c r="B200" s="19"/>
      <c r="C200" s="19"/>
      <c r="D200" s="5"/>
    </row>
    <row r="201">
      <c r="A201" s="19"/>
      <c r="B201" s="19"/>
      <c r="C201" s="19"/>
      <c r="D201" s="5"/>
    </row>
    <row r="202">
      <c r="A202" s="19"/>
      <c r="B202" s="19"/>
      <c r="C202" s="19"/>
      <c r="D202" s="5"/>
    </row>
    <row r="203">
      <c r="A203" s="19"/>
      <c r="B203" s="19"/>
      <c r="C203" s="19"/>
      <c r="D203" s="5"/>
    </row>
    <row r="204">
      <c r="A204" s="19"/>
      <c r="B204" s="19"/>
      <c r="C204" s="19"/>
      <c r="D204" s="5"/>
    </row>
    <row r="205">
      <c r="A205" s="19"/>
      <c r="B205" s="19"/>
      <c r="C205" s="19"/>
      <c r="D205" s="5"/>
    </row>
    <row r="206">
      <c r="A206" s="19"/>
      <c r="B206" s="19"/>
      <c r="C206" s="19"/>
      <c r="D206" s="5"/>
    </row>
    <row r="207">
      <c r="A207" s="19"/>
      <c r="B207" s="19"/>
      <c r="C207" s="19"/>
      <c r="D207" s="5"/>
    </row>
    <row r="208">
      <c r="A208" s="19"/>
      <c r="B208" s="19"/>
      <c r="C208" s="19"/>
      <c r="D208" s="5"/>
    </row>
    <row r="209">
      <c r="A209" s="19"/>
      <c r="B209" s="19"/>
      <c r="C209" s="19"/>
      <c r="D209" s="5"/>
    </row>
    <row r="210">
      <c r="A210" s="19"/>
      <c r="B210" s="19"/>
      <c r="C210" s="19"/>
      <c r="D210" s="5"/>
    </row>
    <row r="211">
      <c r="A211" s="19"/>
      <c r="B211" s="19"/>
      <c r="C211" s="19"/>
      <c r="D211" s="5"/>
    </row>
    <row r="212">
      <c r="A212" s="19"/>
      <c r="B212" s="19"/>
      <c r="C212" s="19"/>
      <c r="D212" s="5"/>
    </row>
    <row r="213">
      <c r="A213" s="19"/>
      <c r="B213" s="19"/>
      <c r="C213" s="19"/>
      <c r="D213" s="5"/>
    </row>
    <row r="214">
      <c r="A214" s="19"/>
      <c r="B214" s="19"/>
      <c r="C214" s="19"/>
      <c r="D214" s="5"/>
    </row>
    <row r="215">
      <c r="A215" s="19"/>
      <c r="B215" s="19"/>
      <c r="C215" s="19"/>
      <c r="D215" s="5"/>
    </row>
    <row r="216">
      <c r="A216" s="19"/>
      <c r="B216" s="19"/>
      <c r="C216" s="19"/>
      <c r="D216" s="5"/>
    </row>
    <row r="217">
      <c r="A217" s="19"/>
      <c r="B217" s="19"/>
      <c r="C217" s="19"/>
      <c r="D217" s="5"/>
    </row>
    <row r="218">
      <c r="A218" s="19"/>
      <c r="B218" s="19"/>
      <c r="C218" s="19"/>
      <c r="D218" s="5"/>
    </row>
    <row r="219">
      <c r="A219" s="19"/>
      <c r="B219" s="19"/>
      <c r="C219" s="19"/>
      <c r="D219" s="5"/>
    </row>
    <row r="220">
      <c r="A220" s="19"/>
      <c r="B220" s="19"/>
      <c r="C220" s="19"/>
      <c r="D220" s="5"/>
    </row>
    <row r="221">
      <c r="A221" s="19"/>
      <c r="B221" s="19"/>
      <c r="C221" s="19"/>
      <c r="D221" s="5"/>
    </row>
    <row r="222">
      <c r="A222" s="19"/>
      <c r="B222" s="19"/>
      <c r="C222" s="19"/>
      <c r="D222" s="5"/>
    </row>
    <row r="223">
      <c r="A223" s="19"/>
      <c r="B223" s="19"/>
      <c r="C223" s="19"/>
      <c r="D223" s="5"/>
    </row>
    <row r="224">
      <c r="A224" s="19"/>
      <c r="B224" s="19"/>
      <c r="C224" s="19"/>
      <c r="D224" s="5"/>
    </row>
    <row r="225">
      <c r="A225" s="19"/>
      <c r="B225" s="19"/>
      <c r="C225" s="19"/>
      <c r="D225" s="5"/>
    </row>
    <row r="226">
      <c r="A226" s="19"/>
      <c r="B226" s="19"/>
      <c r="C226" s="19"/>
      <c r="D226" s="5"/>
    </row>
    <row r="227">
      <c r="A227" s="19"/>
      <c r="B227" s="19"/>
      <c r="C227" s="19"/>
      <c r="D227" s="5"/>
    </row>
    <row r="228">
      <c r="A228" s="19"/>
      <c r="B228" s="19"/>
      <c r="C228" s="19"/>
      <c r="D228" s="5"/>
    </row>
    <row r="229">
      <c r="A229" s="19"/>
      <c r="B229" s="19"/>
      <c r="C229" s="19"/>
      <c r="D229" s="5"/>
    </row>
    <row r="230">
      <c r="A230" s="19"/>
      <c r="B230" s="19"/>
      <c r="C230" s="19"/>
      <c r="D230" s="5"/>
    </row>
    <row r="231">
      <c r="A231" s="19"/>
      <c r="B231" s="19"/>
      <c r="C231" s="19"/>
      <c r="D231" s="5"/>
    </row>
    <row r="232">
      <c r="A232" s="19"/>
      <c r="B232" s="19"/>
      <c r="C232" s="19"/>
      <c r="D232" s="5"/>
    </row>
    <row r="233">
      <c r="A233" s="19"/>
      <c r="B233" s="19"/>
      <c r="C233" s="19"/>
      <c r="D233" s="5"/>
    </row>
    <row r="234">
      <c r="A234" s="19"/>
      <c r="B234" s="19"/>
      <c r="C234" s="19"/>
      <c r="D234" s="5"/>
    </row>
    <row r="235">
      <c r="A235" s="19"/>
      <c r="B235" s="19"/>
      <c r="C235" s="19"/>
      <c r="D235" s="5"/>
    </row>
    <row r="236">
      <c r="A236" s="19"/>
      <c r="B236" s="19"/>
      <c r="C236" s="19"/>
      <c r="D236" s="5"/>
    </row>
    <row r="237">
      <c r="A237" s="19"/>
      <c r="B237" s="19"/>
      <c r="C237" s="19"/>
      <c r="D237" s="5"/>
    </row>
    <row r="238">
      <c r="A238" s="19"/>
      <c r="B238" s="19"/>
      <c r="C238" s="19"/>
      <c r="D238" s="5"/>
    </row>
    <row r="239">
      <c r="A239" s="19"/>
      <c r="B239" s="19"/>
      <c r="C239" s="19"/>
      <c r="D239" s="5"/>
    </row>
    <row r="240">
      <c r="A240" s="19"/>
      <c r="B240" s="19"/>
      <c r="C240" s="19"/>
      <c r="D240" s="5"/>
    </row>
    <row r="241">
      <c r="A241" s="19"/>
      <c r="B241" s="19"/>
      <c r="C241" s="19"/>
      <c r="D241" s="5"/>
    </row>
    <row r="242">
      <c r="A242" s="19"/>
      <c r="B242" s="19"/>
      <c r="C242" s="19"/>
      <c r="D242" s="5"/>
    </row>
    <row r="243">
      <c r="A243" s="19"/>
      <c r="B243" s="19"/>
      <c r="C243" s="19"/>
      <c r="D243" s="5"/>
    </row>
    <row r="244">
      <c r="A244" s="19"/>
      <c r="B244" s="19"/>
      <c r="C244" s="19"/>
      <c r="D244" s="5"/>
    </row>
    <row r="245">
      <c r="A245" s="19"/>
      <c r="B245" s="19"/>
      <c r="C245" s="19"/>
      <c r="D245" s="5"/>
    </row>
    <row r="246">
      <c r="A246" s="19"/>
      <c r="B246" s="19"/>
      <c r="C246" s="19"/>
      <c r="D246" s="5"/>
    </row>
    <row r="247">
      <c r="A247" s="19"/>
      <c r="B247" s="19"/>
      <c r="C247" s="19"/>
      <c r="D247" s="5"/>
    </row>
    <row r="248">
      <c r="A248" s="19"/>
      <c r="B248" s="19"/>
      <c r="C248" s="19"/>
      <c r="D248" s="5"/>
    </row>
    <row r="249">
      <c r="A249" s="19"/>
      <c r="B249" s="19"/>
      <c r="C249" s="19"/>
      <c r="D249" s="5"/>
    </row>
    <row r="250">
      <c r="A250" s="19"/>
      <c r="B250" s="19"/>
      <c r="C250" s="19"/>
      <c r="D250" s="5"/>
    </row>
    <row r="251">
      <c r="A251" s="19"/>
      <c r="B251" s="19"/>
      <c r="C251" s="19"/>
      <c r="D251" s="5"/>
    </row>
    <row r="252">
      <c r="A252" s="19"/>
      <c r="B252" s="19"/>
      <c r="C252" s="19"/>
      <c r="D252" s="5"/>
    </row>
    <row r="253">
      <c r="A253" s="19"/>
      <c r="B253" s="19"/>
      <c r="C253" s="19"/>
      <c r="D253" s="5"/>
    </row>
    <row r="254">
      <c r="A254" s="19"/>
      <c r="B254" s="19"/>
      <c r="C254" s="19"/>
      <c r="D254" s="5"/>
    </row>
    <row r="255">
      <c r="A255" s="19"/>
      <c r="B255" s="19"/>
      <c r="C255" s="19"/>
      <c r="D255" s="5"/>
    </row>
    <row r="256">
      <c r="A256" s="19"/>
      <c r="B256" s="19"/>
      <c r="C256" s="19"/>
      <c r="D256" s="5"/>
    </row>
    <row r="257">
      <c r="A257" s="19"/>
      <c r="B257" s="19"/>
      <c r="C257" s="19"/>
      <c r="D257" s="5"/>
    </row>
    <row r="258">
      <c r="A258" s="19"/>
      <c r="B258" s="19"/>
      <c r="C258" s="19"/>
      <c r="D258" s="5"/>
    </row>
    <row r="259">
      <c r="A259" s="19"/>
      <c r="B259" s="19"/>
      <c r="C259" s="19"/>
      <c r="D259" s="5"/>
    </row>
    <row r="260">
      <c r="A260" s="19"/>
      <c r="B260" s="19"/>
      <c r="C260" s="19"/>
      <c r="D260" s="5"/>
    </row>
    <row r="261">
      <c r="A261" s="19"/>
      <c r="B261" s="19"/>
      <c r="C261" s="19"/>
      <c r="D261" s="5"/>
    </row>
    <row r="262">
      <c r="A262" s="19"/>
      <c r="B262" s="19"/>
      <c r="C262" s="19"/>
      <c r="D262" s="5"/>
    </row>
    <row r="263">
      <c r="A263" s="19"/>
      <c r="B263" s="19"/>
      <c r="C263" s="19"/>
      <c r="D263" s="5"/>
    </row>
    <row r="264">
      <c r="A264" s="19"/>
      <c r="B264" s="19"/>
      <c r="C264" s="19"/>
      <c r="D264" s="5"/>
    </row>
    <row r="265">
      <c r="A265" s="19"/>
      <c r="B265" s="19"/>
      <c r="C265" s="19"/>
      <c r="D265" s="5"/>
    </row>
    <row r="266">
      <c r="A266" s="19"/>
      <c r="B266" s="19"/>
      <c r="C266" s="19"/>
      <c r="D266" s="5"/>
    </row>
    <row r="267">
      <c r="A267" s="19"/>
      <c r="B267" s="19"/>
      <c r="C267" s="19"/>
      <c r="D267" s="5"/>
    </row>
    <row r="268">
      <c r="A268" s="19"/>
      <c r="B268" s="19"/>
      <c r="C268" s="19"/>
      <c r="D268" s="5"/>
    </row>
    <row r="269">
      <c r="A269" s="19"/>
      <c r="B269" s="19"/>
      <c r="C269" s="19"/>
      <c r="D269" s="5"/>
    </row>
    <row r="270">
      <c r="A270" s="19"/>
      <c r="B270" s="19"/>
      <c r="C270" s="19"/>
      <c r="D270" s="5"/>
    </row>
    <row r="271">
      <c r="A271" s="19"/>
      <c r="B271" s="19"/>
      <c r="C271" s="19"/>
      <c r="D271" s="5"/>
    </row>
    <row r="272">
      <c r="A272" s="19"/>
      <c r="B272" s="19"/>
      <c r="C272" s="19"/>
      <c r="D272" s="5"/>
    </row>
    <row r="273">
      <c r="A273" s="19"/>
      <c r="B273" s="19"/>
      <c r="C273" s="19"/>
      <c r="D273" s="5"/>
    </row>
    <row r="274">
      <c r="A274" s="19"/>
      <c r="B274" s="19"/>
      <c r="C274" s="19"/>
      <c r="D274" s="5"/>
    </row>
    <row r="275">
      <c r="A275" s="19"/>
      <c r="B275" s="19"/>
      <c r="C275" s="19"/>
      <c r="D275" s="5"/>
    </row>
    <row r="276">
      <c r="A276" s="19"/>
      <c r="B276" s="19"/>
      <c r="C276" s="19"/>
      <c r="D276" s="5"/>
    </row>
    <row r="277">
      <c r="A277" s="19"/>
      <c r="B277" s="19"/>
      <c r="C277" s="19"/>
      <c r="D277" s="5"/>
    </row>
    <row r="278">
      <c r="A278" s="19"/>
      <c r="B278" s="19"/>
      <c r="C278" s="19"/>
      <c r="D278" s="5"/>
    </row>
    <row r="279">
      <c r="A279" s="19"/>
      <c r="B279" s="19"/>
      <c r="C279" s="19"/>
      <c r="D279" s="5"/>
    </row>
    <row r="280">
      <c r="A280" s="19"/>
      <c r="B280" s="19"/>
      <c r="C280" s="19"/>
      <c r="D280" s="5"/>
    </row>
    <row r="281">
      <c r="A281" s="19"/>
      <c r="B281" s="19"/>
      <c r="C281" s="19"/>
      <c r="D281" s="5"/>
    </row>
    <row r="282">
      <c r="A282" s="19"/>
      <c r="B282" s="19"/>
      <c r="C282" s="19"/>
      <c r="D282" s="5"/>
    </row>
    <row r="283">
      <c r="A283" s="19"/>
      <c r="B283" s="19"/>
      <c r="C283" s="19"/>
      <c r="D283" s="5"/>
    </row>
    <row r="284">
      <c r="A284" s="19"/>
      <c r="B284" s="19"/>
      <c r="C284" s="19"/>
      <c r="D284" s="5"/>
    </row>
    <row r="285">
      <c r="A285" s="19"/>
      <c r="B285" s="19"/>
      <c r="C285" s="19"/>
      <c r="D285" s="5"/>
    </row>
    <row r="286">
      <c r="A286" s="19"/>
      <c r="B286" s="19"/>
      <c r="C286" s="19"/>
      <c r="D286" s="5"/>
    </row>
    <row r="287">
      <c r="A287" s="19"/>
      <c r="B287" s="19"/>
      <c r="C287" s="19"/>
      <c r="D287" s="5"/>
    </row>
    <row r="288">
      <c r="A288" s="19"/>
      <c r="B288" s="19"/>
      <c r="C288" s="19"/>
      <c r="D288" s="5"/>
    </row>
    <row r="289">
      <c r="A289" s="19"/>
      <c r="B289" s="19"/>
      <c r="C289" s="19"/>
      <c r="D289" s="5"/>
    </row>
    <row r="290">
      <c r="A290" s="19"/>
      <c r="B290" s="19"/>
      <c r="C290" s="19"/>
      <c r="D290" s="5"/>
    </row>
    <row r="291">
      <c r="A291" s="19"/>
      <c r="B291" s="19"/>
      <c r="C291" s="19"/>
      <c r="D291" s="5"/>
    </row>
    <row r="292">
      <c r="A292" s="19"/>
      <c r="B292" s="19"/>
      <c r="C292" s="19"/>
      <c r="D292" s="5"/>
    </row>
    <row r="293">
      <c r="A293" s="19"/>
      <c r="B293" s="19"/>
      <c r="C293" s="19"/>
      <c r="D293" s="5"/>
    </row>
    <row r="294">
      <c r="A294" s="19"/>
      <c r="B294" s="19"/>
      <c r="C294" s="19"/>
      <c r="D294" s="5"/>
    </row>
    <row r="295">
      <c r="A295" s="19"/>
      <c r="B295" s="19"/>
      <c r="C295" s="19"/>
      <c r="D295" s="5"/>
    </row>
    <row r="296">
      <c r="A296" s="19"/>
      <c r="B296" s="19"/>
      <c r="C296" s="19"/>
      <c r="D296" s="5"/>
    </row>
    <row r="297">
      <c r="A297" s="19"/>
      <c r="B297" s="19"/>
      <c r="C297" s="19"/>
      <c r="D297" s="5"/>
    </row>
    <row r="298">
      <c r="A298" s="19"/>
      <c r="B298" s="19"/>
      <c r="C298" s="19"/>
      <c r="D298" s="5"/>
    </row>
    <row r="299">
      <c r="A299" s="19"/>
      <c r="B299" s="19"/>
      <c r="C299" s="19"/>
      <c r="D299" s="5"/>
    </row>
    <row r="300">
      <c r="A300" s="19"/>
      <c r="B300" s="19"/>
      <c r="C300" s="19"/>
      <c r="D300" s="5"/>
    </row>
    <row r="301">
      <c r="A301" s="19"/>
      <c r="B301" s="19"/>
      <c r="C301" s="19"/>
      <c r="D301" s="5"/>
    </row>
    <row r="302">
      <c r="A302" s="19"/>
      <c r="B302" s="19"/>
      <c r="C302" s="19"/>
      <c r="D302" s="5"/>
    </row>
    <row r="303">
      <c r="A303" s="19"/>
      <c r="B303" s="19"/>
      <c r="C303" s="19"/>
      <c r="D303" s="5"/>
    </row>
    <row r="304">
      <c r="A304" s="19"/>
      <c r="B304" s="19"/>
      <c r="C304" s="19"/>
      <c r="D304" s="5"/>
    </row>
    <row r="305">
      <c r="A305" s="19"/>
      <c r="B305" s="19"/>
      <c r="C305" s="19"/>
      <c r="D305" s="5"/>
    </row>
    <row r="306">
      <c r="A306" s="19"/>
      <c r="B306" s="19"/>
      <c r="C306" s="19"/>
      <c r="D306" s="5"/>
    </row>
    <row r="307">
      <c r="A307" s="19"/>
      <c r="B307" s="19"/>
      <c r="C307" s="19"/>
      <c r="D307" s="5"/>
    </row>
    <row r="308">
      <c r="A308" s="19"/>
      <c r="B308" s="19"/>
      <c r="C308" s="19"/>
      <c r="D308" s="5"/>
    </row>
    <row r="309">
      <c r="A309" s="19"/>
      <c r="B309" s="19"/>
      <c r="C309" s="19"/>
      <c r="D309" s="5"/>
    </row>
    <row r="310">
      <c r="A310" s="19"/>
      <c r="B310" s="19"/>
      <c r="C310" s="19"/>
      <c r="D310" s="5"/>
    </row>
    <row r="311">
      <c r="A311" s="19"/>
      <c r="B311" s="19"/>
      <c r="C311" s="19"/>
      <c r="D311" s="5"/>
    </row>
    <row r="312">
      <c r="A312" s="19"/>
      <c r="B312" s="19"/>
      <c r="C312" s="19"/>
      <c r="D312" s="5"/>
    </row>
    <row r="313">
      <c r="A313" s="19"/>
      <c r="B313" s="19"/>
      <c r="C313" s="19"/>
      <c r="D313" s="5"/>
    </row>
    <row r="314">
      <c r="A314" s="19"/>
      <c r="B314" s="19"/>
      <c r="C314" s="19"/>
      <c r="D314" s="5"/>
    </row>
    <row r="315">
      <c r="A315" s="19"/>
      <c r="B315" s="19"/>
      <c r="C315" s="19"/>
      <c r="D315" s="5"/>
    </row>
    <row r="316">
      <c r="A316" s="19"/>
      <c r="B316" s="19"/>
      <c r="C316" s="19"/>
      <c r="D316" s="5"/>
    </row>
    <row r="317">
      <c r="A317" s="19"/>
      <c r="B317" s="19"/>
      <c r="C317" s="19"/>
      <c r="D317" s="5"/>
    </row>
    <row r="318">
      <c r="A318" s="19"/>
      <c r="B318" s="19"/>
      <c r="C318" s="19"/>
      <c r="D318" s="5"/>
    </row>
    <row r="319">
      <c r="A319" s="19"/>
      <c r="B319" s="19"/>
      <c r="C319" s="19"/>
      <c r="D319" s="5"/>
    </row>
    <row r="320">
      <c r="A320" s="19"/>
      <c r="B320" s="19"/>
      <c r="C320" s="19"/>
      <c r="D320" s="5"/>
    </row>
    <row r="321">
      <c r="A321" s="19"/>
      <c r="B321" s="19"/>
      <c r="C321" s="19"/>
      <c r="D321" s="5"/>
    </row>
    <row r="322">
      <c r="A322" s="19"/>
      <c r="B322" s="19"/>
      <c r="C322" s="19"/>
      <c r="D322" s="5"/>
    </row>
    <row r="323">
      <c r="A323" s="19"/>
      <c r="B323" s="19"/>
      <c r="C323" s="19"/>
      <c r="D323" s="5"/>
    </row>
    <row r="324">
      <c r="A324" s="19"/>
      <c r="B324" s="19"/>
      <c r="C324" s="19"/>
      <c r="D324" s="5"/>
    </row>
    <row r="325">
      <c r="A325" s="19"/>
      <c r="B325" s="19"/>
      <c r="C325" s="19"/>
      <c r="D325" s="5"/>
    </row>
    <row r="326">
      <c r="A326" s="19"/>
      <c r="B326" s="19"/>
      <c r="C326" s="19"/>
      <c r="D326" s="5"/>
    </row>
    <row r="327">
      <c r="A327" s="19"/>
      <c r="B327" s="19"/>
      <c r="C327" s="19"/>
      <c r="D327" s="5"/>
    </row>
    <row r="328">
      <c r="A328" s="19"/>
      <c r="B328" s="19"/>
      <c r="C328" s="19"/>
      <c r="D328" s="5"/>
    </row>
    <row r="329">
      <c r="A329" s="19"/>
      <c r="B329" s="19"/>
      <c r="C329" s="19"/>
      <c r="D329" s="5"/>
    </row>
    <row r="330">
      <c r="A330" s="19"/>
      <c r="B330" s="19"/>
      <c r="C330" s="19"/>
      <c r="D330" s="5"/>
    </row>
    <row r="331">
      <c r="A331" s="19"/>
      <c r="B331" s="19"/>
      <c r="C331" s="19"/>
      <c r="D331" s="5"/>
    </row>
    <row r="332">
      <c r="A332" s="19"/>
      <c r="B332" s="19"/>
      <c r="C332" s="19"/>
      <c r="D332" s="5"/>
    </row>
    <row r="333">
      <c r="A333" s="19"/>
      <c r="B333" s="19"/>
      <c r="C333" s="19"/>
      <c r="D333" s="5"/>
    </row>
    <row r="334">
      <c r="A334" s="19"/>
      <c r="B334" s="19"/>
      <c r="C334" s="19"/>
      <c r="D334" s="5"/>
    </row>
    <row r="335">
      <c r="A335" s="19"/>
      <c r="B335" s="19"/>
      <c r="C335" s="19"/>
      <c r="D335" s="5"/>
    </row>
    <row r="336">
      <c r="A336" s="19"/>
      <c r="B336" s="19"/>
      <c r="C336" s="19"/>
      <c r="D336" s="5"/>
    </row>
    <row r="337">
      <c r="A337" s="19"/>
      <c r="B337" s="19"/>
      <c r="C337" s="19"/>
      <c r="D337" s="5"/>
    </row>
    <row r="338">
      <c r="A338" s="19"/>
      <c r="B338" s="19"/>
      <c r="C338" s="19"/>
      <c r="D338" s="5"/>
    </row>
    <row r="339">
      <c r="A339" s="19"/>
      <c r="B339" s="19"/>
      <c r="C339" s="19"/>
      <c r="D339" s="5"/>
    </row>
    <row r="340">
      <c r="A340" s="19"/>
      <c r="B340" s="19"/>
      <c r="C340" s="19"/>
      <c r="D340" s="5"/>
    </row>
    <row r="341">
      <c r="A341" s="19"/>
      <c r="B341" s="19"/>
      <c r="C341" s="19"/>
      <c r="D341" s="5"/>
    </row>
    <row r="342">
      <c r="A342" s="19"/>
      <c r="B342" s="19"/>
      <c r="C342" s="19"/>
      <c r="D342" s="5"/>
    </row>
    <row r="343">
      <c r="A343" s="19"/>
      <c r="B343" s="19"/>
      <c r="C343" s="19"/>
      <c r="D343" s="5"/>
    </row>
    <row r="344">
      <c r="A344" s="19"/>
      <c r="B344" s="19"/>
      <c r="C344" s="19"/>
      <c r="D344" s="5"/>
    </row>
    <row r="345">
      <c r="A345" s="19"/>
      <c r="B345" s="19"/>
      <c r="C345" s="19"/>
      <c r="D345" s="5"/>
    </row>
    <row r="346">
      <c r="A346" s="19"/>
      <c r="B346" s="19"/>
      <c r="C346" s="19"/>
      <c r="D346" s="5"/>
    </row>
    <row r="347">
      <c r="A347" s="19"/>
      <c r="B347" s="19"/>
      <c r="C347" s="19"/>
      <c r="D347" s="5"/>
    </row>
    <row r="348">
      <c r="A348" s="19"/>
      <c r="B348" s="19"/>
      <c r="C348" s="19"/>
      <c r="D348" s="5"/>
    </row>
    <row r="349">
      <c r="A349" s="19"/>
      <c r="B349" s="19"/>
      <c r="C349" s="19"/>
      <c r="D349" s="5"/>
    </row>
    <row r="350">
      <c r="A350" s="19"/>
      <c r="B350" s="19"/>
      <c r="C350" s="19"/>
      <c r="D350" s="5"/>
    </row>
    <row r="351">
      <c r="A351" s="19"/>
      <c r="B351" s="19"/>
      <c r="C351" s="19"/>
      <c r="D351" s="5"/>
    </row>
    <row r="352">
      <c r="A352" s="19"/>
      <c r="B352" s="19"/>
      <c r="C352" s="19"/>
      <c r="D352" s="5"/>
    </row>
    <row r="353">
      <c r="A353" s="19"/>
      <c r="B353" s="19"/>
      <c r="C353" s="19"/>
      <c r="D353" s="5"/>
    </row>
    <row r="354">
      <c r="A354" s="19"/>
      <c r="B354" s="19"/>
      <c r="C354" s="19"/>
      <c r="D354" s="5"/>
    </row>
    <row r="355">
      <c r="A355" s="19"/>
      <c r="B355" s="19"/>
      <c r="C355" s="19"/>
      <c r="D355" s="5"/>
    </row>
    <row r="356">
      <c r="A356" s="19"/>
      <c r="B356" s="19"/>
      <c r="C356" s="19"/>
      <c r="D356" s="5"/>
    </row>
    <row r="357">
      <c r="A357" s="19"/>
      <c r="B357" s="19"/>
      <c r="C357" s="19"/>
      <c r="D357" s="5"/>
    </row>
    <row r="358">
      <c r="A358" s="19"/>
      <c r="B358" s="19"/>
      <c r="C358" s="19"/>
      <c r="D358" s="5"/>
    </row>
    <row r="359">
      <c r="A359" s="19"/>
      <c r="B359" s="19"/>
      <c r="C359" s="19"/>
      <c r="D359" s="5"/>
    </row>
    <row r="360">
      <c r="A360" s="19"/>
      <c r="B360" s="19"/>
      <c r="C360" s="19"/>
      <c r="D360" s="5"/>
    </row>
    <row r="361">
      <c r="A361" s="19"/>
      <c r="B361" s="19"/>
      <c r="C361" s="19"/>
      <c r="D361" s="5"/>
    </row>
    <row r="362">
      <c r="A362" s="19"/>
      <c r="B362" s="19"/>
      <c r="C362" s="19"/>
      <c r="D362" s="5"/>
    </row>
    <row r="363">
      <c r="A363" s="19"/>
      <c r="B363" s="19"/>
      <c r="C363" s="19"/>
      <c r="D363" s="5"/>
    </row>
    <row r="364">
      <c r="A364" s="19"/>
      <c r="B364" s="19"/>
      <c r="C364" s="19"/>
      <c r="D364" s="5"/>
    </row>
    <row r="365">
      <c r="A365" s="19"/>
      <c r="B365" s="19"/>
      <c r="C365" s="19"/>
      <c r="D365" s="5"/>
    </row>
    <row r="366">
      <c r="A366" s="19"/>
      <c r="B366" s="19"/>
      <c r="C366" s="19"/>
      <c r="D366" s="5"/>
    </row>
    <row r="367">
      <c r="A367" s="19"/>
      <c r="B367" s="19"/>
      <c r="C367" s="19"/>
      <c r="D367" s="5"/>
    </row>
    <row r="368">
      <c r="A368" s="19"/>
      <c r="B368" s="19"/>
      <c r="C368" s="19"/>
      <c r="D368" s="5"/>
    </row>
    <row r="369">
      <c r="A369" s="19"/>
      <c r="B369" s="19"/>
      <c r="C369" s="19"/>
      <c r="D369" s="5"/>
    </row>
    <row r="370">
      <c r="A370" s="19"/>
      <c r="B370" s="19"/>
      <c r="C370" s="19"/>
      <c r="D370" s="5"/>
    </row>
    <row r="371">
      <c r="A371" s="19"/>
      <c r="B371" s="19"/>
      <c r="C371" s="19"/>
      <c r="D371" s="5"/>
    </row>
    <row r="372">
      <c r="A372" s="19"/>
      <c r="B372" s="19"/>
      <c r="C372" s="19"/>
      <c r="D372" s="5"/>
    </row>
    <row r="373">
      <c r="A373" s="19"/>
      <c r="B373" s="19"/>
      <c r="C373" s="19"/>
      <c r="D373" s="5"/>
    </row>
    <row r="374">
      <c r="A374" s="19"/>
      <c r="B374" s="19"/>
      <c r="C374" s="19"/>
      <c r="D374" s="5"/>
    </row>
    <row r="375">
      <c r="A375" s="19"/>
      <c r="B375" s="19"/>
      <c r="C375" s="19"/>
      <c r="D375" s="5"/>
    </row>
    <row r="376">
      <c r="A376" s="19"/>
      <c r="B376" s="19"/>
      <c r="C376" s="19"/>
      <c r="D376" s="5"/>
    </row>
    <row r="377">
      <c r="A377" s="19"/>
      <c r="B377" s="19"/>
      <c r="C377" s="19"/>
      <c r="D377" s="5"/>
    </row>
    <row r="378">
      <c r="A378" s="19"/>
      <c r="B378" s="19"/>
      <c r="C378" s="19"/>
      <c r="D378" s="5"/>
    </row>
    <row r="379">
      <c r="A379" s="19"/>
      <c r="B379" s="19"/>
      <c r="C379" s="19"/>
      <c r="D379" s="5"/>
    </row>
    <row r="380">
      <c r="A380" s="19"/>
      <c r="B380" s="19"/>
      <c r="C380" s="19"/>
      <c r="D380" s="5"/>
    </row>
    <row r="381">
      <c r="A381" s="19"/>
      <c r="B381" s="19"/>
      <c r="C381" s="19"/>
      <c r="D381" s="5"/>
    </row>
    <row r="382">
      <c r="A382" s="19"/>
      <c r="B382" s="19"/>
      <c r="C382" s="19"/>
      <c r="D382" s="5"/>
    </row>
    <row r="383">
      <c r="A383" s="19"/>
      <c r="B383" s="19"/>
      <c r="C383" s="19"/>
      <c r="D383" s="5"/>
    </row>
    <row r="384">
      <c r="A384" s="19"/>
      <c r="B384" s="19"/>
      <c r="C384" s="19"/>
      <c r="D384" s="5"/>
    </row>
    <row r="385">
      <c r="A385" s="19"/>
      <c r="B385" s="19"/>
      <c r="C385" s="19"/>
      <c r="D385" s="5"/>
    </row>
    <row r="386">
      <c r="A386" s="19"/>
      <c r="B386" s="19"/>
      <c r="C386" s="19"/>
      <c r="D386" s="5"/>
    </row>
    <row r="387">
      <c r="A387" s="19"/>
      <c r="B387" s="19"/>
      <c r="C387" s="19"/>
      <c r="D387" s="5"/>
    </row>
    <row r="388">
      <c r="A388" s="19"/>
      <c r="B388" s="19"/>
      <c r="C388" s="19"/>
      <c r="D388" s="5"/>
    </row>
    <row r="389">
      <c r="A389" s="19"/>
      <c r="B389" s="19"/>
      <c r="C389" s="19"/>
      <c r="D389" s="5"/>
    </row>
    <row r="390">
      <c r="A390" s="19"/>
      <c r="B390" s="19"/>
      <c r="C390" s="19"/>
      <c r="D390" s="5"/>
    </row>
    <row r="391">
      <c r="A391" s="19"/>
      <c r="B391" s="19"/>
      <c r="C391" s="19"/>
      <c r="D391" s="5"/>
    </row>
    <row r="392">
      <c r="A392" s="19"/>
      <c r="B392" s="19"/>
      <c r="C392" s="19"/>
      <c r="D392" s="5"/>
    </row>
    <row r="393">
      <c r="A393" s="19"/>
      <c r="B393" s="19"/>
      <c r="C393" s="19"/>
      <c r="D393" s="5"/>
    </row>
    <row r="394">
      <c r="A394" s="19"/>
      <c r="B394" s="19"/>
      <c r="C394" s="19"/>
      <c r="D394" s="5"/>
    </row>
    <row r="395">
      <c r="A395" s="19"/>
      <c r="B395" s="19"/>
      <c r="C395" s="19"/>
      <c r="D395" s="5"/>
    </row>
    <row r="396">
      <c r="A396" s="19"/>
      <c r="B396" s="19"/>
      <c r="C396" s="19"/>
      <c r="D396" s="5"/>
    </row>
    <row r="397">
      <c r="A397" s="19"/>
      <c r="B397" s="19"/>
      <c r="C397" s="19"/>
      <c r="D397" s="5"/>
    </row>
    <row r="398">
      <c r="A398" s="19"/>
      <c r="B398" s="19"/>
      <c r="C398" s="19"/>
      <c r="D398" s="5"/>
    </row>
    <row r="399">
      <c r="A399" s="19"/>
      <c r="B399" s="19"/>
      <c r="C399" s="19"/>
      <c r="D399" s="5"/>
    </row>
    <row r="400">
      <c r="A400" s="19"/>
      <c r="B400" s="19"/>
      <c r="C400" s="19"/>
      <c r="D400" s="5"/>
    </row>
    <row r="401">
      <c r="A401" s="19"/>
      <c r="B401" s="19"/>
      <c r="C401" s="19"/>
      <c r="D401" s="5"/>
    </row>
    <row r="402">
      <c r="A402" s="19"/>
      <c r="B402" s="19"/>
      <c r="C402" s="19"/>
      <c r="D402" s="5"/>
    </row>
    <row r="403">
      <c r="A403" s="19"/>
      <c r="B403" s="19"/>
      <c r="C403" s="19"/>
      <c r="D403" s="5"/>
    </row>
    <row r="404">
      <c r="A404" s="19"/>
      <c r="B404" s="19"/>
      <c r="C404" s="19"/>
      <c r="D404" s="5"/>
    </row>
    <row r="405">
      <c r="A405" s="19"/>
      <c r="B405" s="19"/>
      <c r="C405" s="19"/>
      <c r="D405" s="5"/>
    </row>
    <row r="406">
      <c r="A406" s="19"/>
      <c r="B406" s="19"/>
      <c r="C406" s="19"/>
      <c r="D406" s="5"/>
    </row>
    <row r="407">
      <c r="A407" s="19"/>
      <c r="B407" s="19"/>
      <c r="C407" s="19"/>
      <c r="D407" s="5"/>
    </row>
    <row r="408">
      <c r="A408" s="19"/>
      <c r="B408" s="19"/>
      <c r="C408" s="19"/>
      <c r="D408" s="5"/>
    </row>
    <row r="409">
      <c r="A409" s="19"/>
      <c r="B409" s="19"/>
      <c r="C409" s="19"/>
      <c r="D409" s="5"/>
    </row>
    <row r="410">
      <c r="A410" s="19"/>
      <c r="B410" s="19"/>
      <c r="C410" s="19"/>
      <c r="D410" s="5"/>
    </row>
    <row r="411">
      <c r="A411" s="19"/>
      <c r="B411" s="19"/>
      <c r="C411" s="19"/>
      <c r="D411" s="5"/>
    </row>
    <row r="412">
      <c r="A412" s="19"/>
      <c r="B412" s="19"/>
      <c r="C412" s="19"/>
      <c r="D412" s="5"/>
    </row>
    <row r="413">
      <c r="A413" s="19"/>
      <c r="B413" s="19"/>
      <c r="C413" s="19"/>
      <c r="D413" s="5"/>
    </row>
    <row r="414">
      <c r="A414" s="19"/>
      <c r="B414" s="19"/>
      <c r="C414" s="19"/>
      <c r="D414" s="5"/>
    </row>
    <row r="415">
      <c r="A415" s="19"/>
      <c r="B415" s="19"/>
      <c r="C415" s="19"/>
      <c r="D415" s="5"/>
    </row>
    <row r="416">
      <c r="A416" s="19"/>
      <c r="B416" s="19"/>
      <c r="C416" s="19"/>
      <c r="D416" s="5"/>
    </row>
    <row r="417">
      <c r="A417" s="19"/>
      <c r="B417" s="19"/>
      <c r="C417" s="19"/>
      <c r="D417" s="5"/>
    </row>
    <row r="418">
      <c r="A418" s="19"/>
      <c r="B418" s="19"/>
      <c r="C418" s="19"/>
      <c r="D418" s="5"/>
    </row>
    <row r="419">
      <c r="A419" s="19"/>
      <c r="B419" s="19"/>
      <c r="C419" s="19"/>
      <c r="D419" s="5"/>
    </row>
    <row r="420">
      <c r="A420" s="19"/>
      <c r="B420" s="19"/>
      <c r="C420" s="19"/>
      <c r="D420" s="5"/>
    </row>
    <row r="421">
      <c r="A421" s="19"/>
      <c r="B421" s="19"/>
      <c r="C421" s="19"/>
      <c r="D421" s="5"/>
    </row>
    <row r="422">
      <c r="A422" s="19"/>
      <c r="B422" s="19"/>
      <c r="C422" s="19"/>
      <c r="D422" s="5"/>
    </row>
    <row r="423">
      <c r="A423" s="19"/>
      <c r="B423" s="19"/>
      <c r="C423" s="19"/>
      <c r="D423" s="5"/>
    </row>
    <row r="424">
      <c r="A424" s="19"/>
      <c r="B424" s="19"/>
      <c r="C424" s="19"/>
      <c r="D424" s="5"/>
    </row>
    <row r="425">
      <c r="A425" s="19"/>
      <c r="B425" s="19"/>
      <c r="C425" s="19"/>
      <c r="D425" s="5"/>
    </row>
    <row r="426">
      <c r="A426" s="19"/>
      <c r="B426" s="19"/>
      <c r="C426" s="19"/>
      <c r="D426" s="5"/>
    </row>
    <row r="427">
      <c r="A427" s="19"/>
      <c r="B427" s="19"/>
      <c r="C427" s="19"/>
      <c r="D427" s="5"/>
    </row>
    <row r="428">
      <c r="A428" s="19"/>
      <c r="B428" s="19"/>
      <c r="C428" s="19"/>
      <c r="D428" s="5"/>
    </row>
    <row r="429">
      <c r="A429" s="19"/>
      <c r="B429" s="19"/>
      <c r="C429" s="19"/>
      <c r="D429" s="5"/>
    </row>
    <row r="430">
      <c r="A430" s="19"/>
      <c r="B430" s="19"/>
      <c r="C430" s="19"/>
      <c r="D430" s="5"/>
    </row>
    <row r="431">
      <c r="A431" s="19"/>
      <c r="B431" s="19"/>
      <c r="C431" s="19"/>
      <c r="D431" s="5"/>
    </row>
    <row r="432">
      <c r="A432" s="19"/>
      <c r="B432" s="19"/>
      <c r="C432" s="19"/>
      <c r="D432" s="5"/>
    </row>
    <row r="433">
      <c r="A433" s="19"/>
      <c r="B433" s="19"/>
      <c r="C433" s="19"/>
      <c r="D433" s="5"/>
    </row>
    <row r="434">
      <c r="A434" s="19"/>
      <c r="B434" s="19"/>
      <c r="C434" s="19"/>
      <c r="D434" s="5"/>
    </row>
    <row r="435">
      <c r="A435" s="19"/>
      <c r="B435" s="19"/>
      <c r="C435" s="19"/>
      <c r="D435" s="5"/>
    </row>
    <row r="436">
      <c r="A436" s="19"/>
      <c r="B436" s="19"/>
      <c r="C436" s="19"/>
      <c r="D436" s="5"/>
    </row>
    <row r="437">
      <c r="A437" s="19"/>
      <c r="B437" s="19"/>
      <c r="C437" s="19"/>
      <c r="D437" s="5"/>
    </row>
    <row r="438">
      <c r="A438" s="19"/>
      <c r="B438" s="19"/>
      <c r="C438" s="19"/>
      <c r="D438" s="5"/>
    </row>
    <row r="439">
      <c r="A439" s="19"/>
      <c r="B439" s="19"/>
      <c r="C439" s="19"/>
      <c r="D439" s="5"/>
    </row>
    <row r="440">
      <c r="A440" s="19"/>
      <c r="B440" s="19"/>
      <c r="C440" s="19"/>
      <c r="D440" s="5"/>
    </row>
    <row r="441">
      <c r="A441" s="19"/>
      <c r="B441" s="19"/>
      <c r="C441" s="19"/>
      <c r="D441" s="5"/>
    </row>
    <row r="442">
      <c r="A442" s="19"/>
      <c r="B442" s="19"/>
      <c r="C442" s="19"/>
      <c r="D442" s="5"/>
    </row>
    <row r="443">
      <c r="A443" s="19"/>
      <c r="B443" s="19"/>
      <c r="C443" s="19"/>
      <c r="D443" s="5"/>
    </row>
    <row r="444">
      <c r="A444" s="19"/>
      <c r="B444" s="19"/>
      <c r="C444" s="19"/>
      <c r="D444" s="5"/>
    </row>
    <row r="445">
      <c r="A445" s="19"/>
      <c r="B445" s="19"/>
      <c r="C445" s="19"/>
      <c r="D445" s="5"/>
    </row>
    <row r="446">
      <c r="A446" s="19"/>
      <c r="B446" s="19"/>
      <c r="C446" s="19"/>
      <c r="D446" s="5"/>
    </row>
    <row r="447">
      <c r="A447" s="19"/>
      <c r="B447" s="19"/>
      <c r="C447" s="19"/>
      <c r="D447" s="5"/>
    </row>
    <row r="448">
      <c r="A448" s="19"/>
      <c r="B448" s="19"/>
      <c r="C448" s="19"/>
      <c r="D448" s="5"/>
    </row>
    <row r="449">
      <c r="A449" s="19"/>
      <c r="B449" s="19"/>
      <c r="C449" s="19"/>
      <c r="D449" s="5"/>
    </row>
    <row r="450">
      <c r="A450" s="19"/>
      <c r="B450" s="19"/>
      <c r="C450" s="19"/>
      <c r="D450" s="5"/>
    </row>
    <row r="451">
      <c r="A451" s="19"/>
      <c r="B451" s="19"/>
      <c r="C451" s="19"/>
      <c r="D451" s="5"/>
    </row>
    <row r="452">
      <c r="A452" s="19"/>
      <c r="B452" s="19"/>
      <c r="C452" s="19"/>
      <c r="D452" s="5"/>
    </row>
    <row r="453">
      <c r="A453" s="19"/>
      <c r="B453" s="19"/>
      <c r="C453" s="19"/>
      <c r="D453" s="5"/>
    </row>
    <row r="454">
      <c r="A454" s="19"/>
      <c r="B454" s="19"/>
      <c r="C454" s="19"/>
      <c r="D454" s="5"/>
    </row>
    <row r="455">
      <c r="A455" s="19"/>
      <c r="B455" s="19"/>
      <c r="C455" s="19"/>
      <c r="D455" s="5"/>
    </row>
    <row r="456">
      <c r="A456" s="19"/>
      <c r="B456" s="19"/>
      <c r="C456" s="19"/>
      <c r="D456" s="5"/>
    </row>
    <row r="457">
      <c r="A457" s="19"/>
      <c r="B457" s="19"/>
      <c r="C457" s="19"/>
      <c r="D457" s="5"/>
    </row>
    <row r="458">
      <c r="A458" s="19"/>
      <c r="B458" s="19"/>
      <c r="C458" s="19"/>
      <c r="D458" s="5"/>
    </row>
    <row r="459">
      <c r="A459" s="19"/>
      <c r="B459" s="19"/>
      <c r="C459" s="19"/>
      <c r="D459" s="5"/>
    </row>
    <row r="460">
      <c r="A460" s="19"/>
      <c r="B460" s="19"/>
      <c r="C460" s="19"/>
      <c r="D460" s="5"/>
    </row>
    <row r="461">
      <c r="A461" s="19"/>
      <c r="B461" s="19"/>
      <c r="C461" s="19"/>
      <c r="D461" s="5"/>
    </row>
    <row r="462">
      <c r="A462" s="19"/>
      <c r="B462" s="19"/>
      <c r="C462" s="19"/>
      <c r="D462" s="5"/>
    </row>
    <row r="463">
      <c r="A463" s="19"/>
      <c r="B463" s="19"/>
      <c r="C463" s="19"/>
      <c r="D463" s="5"/>
    </row>
    <row r="464">
      <c r="A464" s="19"/>
      <c r="B464" s="19"/>
      <c r="C464" s="19"/>
      <c r="D464" s="5"/>
    </row>
    <row r="465">
      <c r="A465" s="19"/>
      <c r="B465" s="19"/>
      <c r="C465" s="19"/>
      <c r="D465" s="5"/>
    </row>
    <row r="466">
      <c r="A466" s="19"/>
      <c r="B466" s="19"/>
      <c r="C466" s="19"/>
      <c r="D466" s="5"/>
    </row>
    <row r="467">
      <c r="A467" s="19"/>
      <c r="B467" s="19"/>
      <c r="C467" s="19"/>
      <c r="D467" s="5"/>
    </row>
    <row r="468">
      <c r="A468" s="19"/>
      <c r="B468" s="19"/>
      <c r="C468" s="19"/>
      <c r="D468" s="5"/>
    </row>
    <row r="469">
      <c r="A469" s="19"/>
      <c r="B469" s="19"/>
      <c r="C469" s="19"/>
      <c r="D469" s="5"/>
    </row>
    <row r="470">
      <c r="A470" s="19"/>
      <c r="B470" s="19"/>
      <c r="C470" s="19"/>
      <c r="D470" s="5"/>
    </row>
    <row r="471">
      <c r="A471" s="19"/>
      <c r="B471" s="19"/>
      <c r="C471" s="19"/>
      <c r="D471" s="5"/>
    </row>
    <row r="472">
      <c r="A472" s="19"/>
      <c r="B472" s="19"/>
      <c r="C472" s="19"/>
      <c r="D472" s="5"/>
    </row>
    <row r="473">
      <c r="A473" s="19"/>
      <c r="B473" s="19"/>
      <c r="C473" s="19"/>
      <c r="D473" s="5"/>
    </row>
    <row r="474">
      <c r="A474" s="19"/>
      <c r="B474" s="19"/>
      <c r="C474" s="19"/>
      <c r="D474" s="5"/>
    </row>
    <row r="475">
      <c r="A475" s="19"/>
      <c r="B475" s="19"/>
      <c r="C475" s="19"/>
      <c r="D475" s="5"/>
    </row>
    <row r="476">
      <c r="A476" s="19"/>
      <c r="B476" s="19"/>
      <c r="C476" s="19"/>
      <c r="D476" s="5"/>
    </row>
    <row r="477">
      <c r="A477" s="19"/>
      <c r="B477" s="19"/>
      <c r="C477" s="19"/>
      <c r="D477" s="5"/>
    </row>
    <row r="478">
      <c r="A478" s="19"/>
      <c r="B478" s="19"/>
      <c r="C478" s="19"/>
      <c r="D478" s="5"/>
    </row>
    <row r="479">
      <c r="A479" s="19"/>
      <c r="B479" s="19"/>
      <c r="C479" s="19"/>
      <c r="D479" s="5"/>
    </row>
    <row r="480">
      <c r="A480" s="19"/>
      <c r="B480" s="19"/>
      <c r="C480" s="19"/>
      <c r="D480" s="5"/>
    </row>
    <row r="481">
      <c r="A481" s="19"/>
      <c r="B481" s="19"/>
      <c r="C481" s="19"/>
      <c r="D481" s="5"/>
    </row>
    <row r="482">
      <c r="A482" s="19"/>
      <c r="B482" s="19"/>
      <c r="C482" s="19"/>
      <c r="D482" s="5"/>
    </row>
    <row r="483">
      <c r="A483" s="19"/>
      <c r="B483" s="19"/>
      <c r="C483" s="19"/>
      <c r="D483" s="5"/>
    </row>
    <row r="484">
      <c r="A484" s="19"/>
      <c r="B484" s="19"/>
      <c r="C484" s="19"/>
      <c r="D484" s="5"/>
    </row>
    <row r="485">
      <c r="A485" s="19"/>
      <c r="B485" s="19"/>
      <c r="C485" s="19"/>
      <c r="D485" s="5"/>
    </row>
    <row r="486">
      <c r="A486" s="19"/>
      <c r="B486" s="19"/>
      <c r="C486" s="19"/>
      <c r="D486" s="5"/>
    </row>
    <row r="487">
      <c r="A487" s="19"/>
      <c r="B487" s="19"/>
      <c r="C487" s="19"/>
      <c r="D487" s="5"/>
    </row>
    <row r="488">
      <c r="A488" s="19"/>
      <c r="B488" s="19"/>
      <c r="C488" s="19"/>
      <c r="D488" s="5"/>
    </row>
    <row r="489">
      <c r="A489" s="19"/>
      <c r="B489" s="19"/>
      <c r="C489" s="19"/>
      <c r="D489" s="5"/>
    </row>
    <row r="490">
      <c r="A490" s="19"/>
      <c r="B490" s="19"/>
      <c r="C490" s="19"/>
      <c r="D490" s="5"/>
    </row>
    <row r="491">
      <c r="A491" s="19"/>
      <c r="B491" s="19"/>
      <c r="C491" s="19"/>
      <c r="D491" s="5"/>
    </row>
    <row r="492">
      <c r="A492" s="19"/>
      <c r="B492" s="19"/>
      <c r="C492" s="19"/>
      <c r="D492" s="5"/>
    </row>
    <row r="493">
      <c r="A493" s="19"/>
      <c r="B493" s="19"/>
      <c r="C493" s="19"/>
      <c r="D493" s="5"/>
    </row>
    <row r="494">
      <c r="A494" s="19"/>
      <c r="B494" s="19"/>
      <c r="C494" s="19"/>
      <c r="D494" s="5"/>
    </row>
    <row r="495">
      <c r="A495" s="19"/>
      <c r="B495" s="19"/>
      <c r="C495" s="19"/>
      <c r="D495" s="5"/>
    </row>
    <row r="496">
      <c r="A496" s="19"/>
      <c r="B496" s="19"/>
      <c r="C496" s="19"/>
      <c r="D496" s="5"/>
    </row>
    <row r="497">
      <c r="A497" s="19"/>
      <c r="B497" s="19"/>
      <c r="C497" s="19"/>
      <c r="D497" s="5"/>
    </row>
    <row r="498">
      <c r="A498" s="19"/>
      <c r="B498" s="19"/>
      <c r="C498" s="19"/>
      <c r="D498" s="5"/>
    </row>
    <row r="499">
      <c r="A499" s="19"/>
      <c r="B499" s="19"/>
      <c r="C499" s="19"/>
      <c r="D499" s="5"/>
    </row>
    <row r="500">
      <c r="A500" s="19"/>
      <c r="B500" s="19"/>
      <c r="C500" s="19"/>
      <c r="D500" s="5"/>
    </row>
    <row r="501">
      <c r="A501" s="19"/>
      <c r="B501" s="19"/>
      <c r="C501" s="19"/>
      <c r="D501" s="5"/>
    </row>
    <row r="502">
      <c r="A502" s="19"/>
      <c r="B502" s="19"/>
      <c r="C502" s="19"/>
      <c r="D502" s="5"/>
    </row>
    <row r="503">
      <c r="A503" s="19"/>
      <c r="B503" s="19"/>
      <c r="C503" s="19"/>
      <c r="D503" s="5"/>
    </row>
    <row r="504">
      <c r="A504" s="19"/>
      <c r="B504" s="19"/>
      <c r="C504" s="19"/>
      <c r="D504" s="5"/>
    </row>
    <row r="505">
      <c r="A505" s="19"/>
      <c r="B505" s="19"/>
      <c r="C505" s="19"/>
      <c r="D505" s="5"/>
    </row>
    <row r="506">
      <c r="A506" s="19"/>
      <c r="B506" s="19"/>
      <c r="C506" s="19"/>
      <c r="D506" s="5"/>
    </row>
    <row r="507">
      <c r="A507" s="19"/>
      <c r="B507" s="19"/>
      <c r="C507" s="19"/>
      <c r="D507" s="5"/>
    </row>
    <row r="508">
      <c r="A508" s="19"/>
      <c r="B508" s="19"/>
      <c r="C508" s="19"/>
      <c r="D508" s="5"/>
    </row>
    <row r="509">
      <c r="A509" s="19"/>
      <c r="B509" s="19"/>
      <c r="C509" s="19"/>
      <c r="D509" s="5"/>
    </row>
    <row r="510">
      <c r="A510" s="19"/>
      <c r="B510" s="19"/>
      <c r="C510" s="19"/>
      <c r="D510" s="5"/>
    </row>
    <row r="511">
      <c r="A511" s="19"/>
      <c r="B511" s="19"/>
      <c r="C511" s="19"/>
      <c r="D511" s="5"/>
    </row>
    <row r="512">
      <c r="A512" s="19"/>
      <c r="B512" s="19"/>
      <c r="C512" s="19"/>
      <c r="D512" s="5"/>
    </row>
    <row r="513">
      <c r="A513" s="19"/>
      <c r="B513" s="19"/>
      <c r="C513" s="19"/>
      <c r="D513" s="5"/>
    </row>
    <row r="514">
      <c r="A514" s="19"/>
      <c r="B514" s="19"/>
      <c r="C514" s="19"/>
      <c r="D514" s="5"/>
    </row>
    <row r="515">
      <c r="A515" s="19"/>
      <c r="B515" s="19"/>
      <c r="C515" s="19"/>
      <c r="D515" s="5"/>
    </row>
    <row r="516">
      <c r="A516" s="19"/>
      <c r="B516" s="19"/>
      <c r="C516" s="19"/>
      <c r="D516" s="5"/>
    </row>
    <row r="517">
      <c r="A517" s="19"/>
      <c r="B517" s="19"/>
      <c r="C517" s="19"/>
      <c r="D517" s="5"/>
    </row>
    <row r="518">
      <c r="A518" s="19"/>
      <c r="B518" s="19"/>
      <c r="C518" s="19"/>
      <c r="D518" s="5"/>
    </row>
    <row r="519">
      <c r="A519" s="19"/>
      <c r="B519" s="19"/>
      <c r="C519" s="19"/>
      <c r="D519" s="5"/>
    </row>
    <row r="520">
      <c r="A520" s="19"/>
      <c r="B520" s="19"/>
      <c r="C520" s="19"/>
      <c r="D520" s="5"/>
    </row>
    <row r="521">
      <c r="A521" s="19"/>
      <c r="B521" s="19"/>
      <c r="C521" s="19"/>
      <c r="D521" s="5"/>
    </row>
    <row r="522">
      <c r="A522" s="19"/>
      <c r="B522" s="19"/>
      <c r="C522" s="19"/>
      <c r="D522" s="5"/>
    </row>
    <row r="523">
      <c r="A523" s="19"/>
      <c r="B523" s="19"/>
      <c r="C523" s="19"/>
      <c r="D523" s="5"/>
    </row>
    <row r="524">
      <c r="A524" s="19"/>
      <c r="B524" s="19"/>
      <c r="C524" s="19"/>
      <c r="D524" s="5"/>
    </row>
    <row r="525">
      <c r="A525" s="19"/>
      <c r="B525" s="19"/>
      <c r="C525" s="19"/>
      <c r="D525" s="5"/>
    </row>
    <row r="526">
      <c r="A526" s="19"/>
      <c r="B526" s="19"/>
      <c r="C526" s="19"/>
      <c r="D526" s="5"/>
    </row>
    <row r="527">
      <c r="A527" s="19"/>
      <c r="B527" s="19"/>
      <c r="C527" s="19"/>
      <c r="D527" s="5"/>
    </row>
    <row r="528">
      <c r="A528" s="19"/>
      <c r="B528" s="19"/>
      <c r="C528" s="19"/>
      <c r="D528" s="5"/>
    </row>
    <row r="529">
      <c r="A529" s="19"/>
      <c r="B529" s="19"/>
      <c r="C529" s="19"/>
      <c r="D529" s="5"/>
    </row>
    <row r="530">
      <c r="A530" s="19"/>
      <c r="B530" s="19"/>
      <c r="C530" s="19"/>
      <c r="D530" s="5"/>
    </row>
    <row r="531">
      <c r="A531" s="19"/>
      <c r="B531" s="19"/>
      <c r="C531" s="19"/>
      <c r="D531" s="5"/>
    </row>
    <row r="532">
      <c r="A532" s="19"/>
      <c r="B532" s="19"/>
      <c r="C532" s="19"/>
      <c r="D532" s="5"/>
    </row>
    <row r="533">
      <c r="A533" s="19"/>
      <c r="B533" s="19"/>
      <c r="C533" s="19"/>
      <c r="D533" s="5"/>
    </row>
    <row r="534">
      <c r="A534" s="19"/>
      <c r="B534" s="19"/>
      <c r="C534" s="19"/>
      <c r="D534" s="5"/>
    </row>
    <row r="535">
      <c r="A535" s="19"/>
      <c r="B535" s="19"/>
      <c r="C535" s="19"/>
      <c r="D535" s="5"/>
    </row>
    <row r="536">
      <c r="A536" s="19"/>
      <c r="B536" s="19"/>
      <c r="C536" s="19"/>
      <c r="D536" s="5"/>
    </row>
    <row r="537">
      <c r="A537" s="19"/>
      <c r="B537" s="19"/>
      <c r="C537" s="19"/>
      <c r="D537" s="5"/>
    </row>
    <row r="538">
      <c r="A538" s="19"/>
      <c r="B538" s="19"/>
      <c r="C538" s="19"/>
      <c r="D538" s="5"/>
    </row>
    <row r="539">
      <c r="A539" s="19"/>
      <c r="B539" s="19"/>
      <c r="C539" s="19"/>
      <c r="D539" s="5"/>
    </row>
    <row r="540">
      <c r="A540" s="19"/>
      <c r="B540" s="19"/>
      <c r="C540" s="19"/>
      <c r="D540" s="5"/>
    </row>
    <row r="541">
      <c r="A541" s="19"/>
      <c r="B541" s="19"/>
      <c r="C541" s="19"/>
      <c r="D541" s="5"/>
    </row>
    <row r="542">
      <c r="A542" s="19"/>
      <c r="B542" s="19"/>
      <c r="C542" s="19"/>
      <c r="D542" s="5"/>
    </row>
    <row r="543">
      <c r="A543" s="19"/>
      <c r="B543" s="19"/>
      <c r="C543" s="19"/>
      <c r="D543" s="5"/>
    </row>
    <row r="544">
      <c r="A544" s="19"/>
      <c r="B544" s="19"/>
      <c r="C544" s="19"/>
      <c r="D544" s="5"/>
    </row>
    <row r="545">
      <c r="A545" s="19"/>
      <c r="B545" s="19"/>
      <c r="C545" s="19"/>
      <c r="D545" s="5"/>
    </row>
    <row r="546">
      <c r="A546" s="19"/>
      <c r="B546" s="19"/>
      <c r="C546" s="19"/>
      <c r="D546" s="5"/>
    </row>
    <row r="547">
      <c r="A547" s="19"/>
      <c r="B547" s="19"/>
      <c r="C547" s="19"/>
      <c r="D547" s="5"/>
    </row>
    <row r="548">
      <c r="A548" s="19"/>
      <c r="B548" s="19"/>
      <c r="C548" s="19"/>
      <c r="D548" s="5"/>
    </row>
    <row r="549">
      <c r="A549" s="19"/>
      <c r="B549" s="19"/>
      <c r="C549" s="19"/>
      <c r="D549" s="5"/>
    </row>
    <row r="550">
      <c r="A550" s="19"/>
      <c r="B550" s="19"/>
      <c r="C550" s="19"/>
      <c r="D550" s="5"/>
    </row>
    <row r="551">
      <c r="A551" s="19"/>
      <c r="B551" s="19"/>
      <c r="C551" s="19"/>
      <c r="D551" s="5"/>
    </row>
    <row r="552">
      <c r="A552" s="19"/>
      <c r="B552" s="19"/>
      <c r="C552" s="19"/>
      <c r="D552" s="5"/>
    </row>
    <row r="553">
      <c r="A553" s="19"/>
      <c r="B553" s="19"/>
      <c r="C553" s="19"/>
      <c r="D553" s="5"/>
    </row>
    <row r="554">
      <c r="A554" s="19"/>
      <c r="B554" s="19"/>
      <c r="C554" s="19"/>
      <c r="D554" s="5"/>
    </row>
    <row r="555">
      <c r="A555" s="19"/>
      <c r="B555" s="19"/>
      <c r="C555" s="19"/>
      <c r="D555" s="5"/>
    </row>
    <row r="556">
      <c r="A556" s="19"/>
      <c r="B556" s="19"/>
      <c r="C556" s="19"/>
      <c r="D556" s="5"/>
    </row>
    <row r="557">
      <c r="A557" s="19"/>
      <c r="B557" s="19"/>
      <c r="C557" s="19"/>
      <c r="D557" s="5"/>
    </row>
    <row r="558">
      <c r="A558" s="19"/>
      <c r="B558" s="19"/>
      <c r="C558" s="19"/>
      <c r="D558" s="5"/>
    </row>
    <row r="559">
      <c r="A559" s="19"/>
      <c r="B559" s="19"/>
      <c r="C559" s="19"/>
      <c r="D559" s="5"/>
    </row>
    <row r="560">
      <c r="A560" s="19"/>
      <c r="B560" s="19"/>
      <c r="C560" s="19"/>
      <c r="D560" s="5"/>
    </row>
    <row r="561">
      <c r="A561" s="19"/>
      <c r="B561" s="19"/>
      <c r="C561" s="19"/>
      <c r="D561" s="5"/>
    </row>
    <row r="562">
      <c r="A562" s="19"/>
      <c r="B562" s="19"/>
      <c r="C562" s="19"/>
      <c r="D562" s="5"/>
    </row>
    <row r="563">
      <c r="A563" s="19"/>
      <c r="B563" s="19"/>
      <c r="C563" s="19"/>
      <c r="D563" s="5"/>
    </row>
    <row r="564">
      <c r="A564" s="19"/>
      <c r="B564" s="19"/>
      <c r="C564" s="19"/>
      <c r="D564" s="5"/>
    </row>
    <row r="565">
      <c r="A565" s="19"/>
      <c r="B565" s="19"/>
      <c r="C565" s="19"/>
      <c r="D565" s="5"/>
    </row>
    <row r="566">
      <c r="A566" s="19"/>
      <c r="B566" s="19"/>
      <c r="C566" s="19"/>
      <c r="D566" s="5"/>
    </row>
    <row r="567">
      <c r="A567" s="19"/>
      <c r="B567" s="19"/>
      <c r="C567" s="19"/>
      <c r="D567" s="5"/>
    </row>
    <row r="568">
      <c r="A568" s="19"/>
      <c r="B568" s="19"/>
      <c r="C568" s="19"/>
      <c r="D568" s="5"/>
    </row>
    <row r="569">
      <c r="A569" s="19"/>
      <c r="B569" s="19"/>
      <c r="C569" s="19"/>
      <c r="D569" s="5"/>
    </row>
    <row r="570">
      <c r="A570" s="19"/>
      <c r="B570" s="19"/>
      <c r="C570" s="19"/>
      <c r="D570" s="5"/>
    </row>
    <row r="571">
      <c r="A571" s="19"/>
      <c r="B571" s="19"/>
      <c r="C571" s="19"/>
      <c r="D571" s="5"/>
    </row>
    <row r="572">
      <c r="A572" s="19"/>
      <c r="B572" s="19"/>
      <c r="C572" s="19"/>
      <c r="D572" s="5"/>
    </row>
    <row r="573">
      <c r="A573" s="19"/>
      <c r="B573" s="19"/>
      <c r="C573" s="19"/>
      <c r="D573" s="5"/>
    </row>
    <row r="574">
      <c r="A574" s="19"/>
      <c r="B574" s="19"/>
      <c r="C574" s="19"/>
      <c r="D574" s="5"/>
    </row>
    <row r="575">
      <c r="A575" s="19"/>
      <c r="B575" s="19"/>
      <c r="C575" s="19"/>
      <c r="D575" s="5"/>
    </row>
    <row r="576">
      <c r="A576" s="19"/>
      <c r="B576" s="19"/>
      <c r="C576" s="19"/>
      <c r="D576" s="5"/>
    </row>
    <row r="577">
      <c r="A577" s="19"/>
      <c r="B577" s="19"/>
      <c r="C577" s="19"/>
      <c r="D577" s="5"/>
    </row>
    <row r="578">
      <c r="A578" s="19"/>
      <c r="B578" s="19"/>
      <c r="C578" s="19"/>
      <c r="D578" s="5"/>
    </row>
    <row r="579">
      <c r="A579" s="19"/>
      <c r="B579" s="19"/>
      <c r="C579" s="19"/>
      <c r="D579" s="5"/>
    </row>
    <row r="580">
      <c r="A580" s="19"/>
      <c r="B580" s="19"/>
      <c r="C580" s="19"/>
      <c r="D580" s="5"/>
    </row>
    <row r="581">
      <c r="A581" s="19"/>
      <c r="B581" s="19"/>
      <c r="C581" s="19"/>
      <c r="D581" s="5"/>
    </row>
    <row r="582">
      <c r="A582" s="19"/>
      <c r="B582" s="19"/>
      <c r="C582" s="19"/>
      <c r="D582" s="5"/>
    </row>
    <row r="583">
      <c r="A583" s="19"/>
      <c r="B583" s="19"/>
      <c r="C583" s="19"/>
      <c r="D583" s="5"/>
    </row>
    <row r="584">
      <c r="A584" s="19"/>
      <c r="B584" s="19"/>
      <c r="C584" s="19"/>
      <c r="D584" s="5"/>
    </row>
    <row r="585">
      <c r="A585" s="19"/>
      <c r="B585" s="19"/>
      <c r="C585" s="19"/>
      <c r="D585" s="5"/>
    </row>
    <row r="586">
      <c r="A586" s="19"/>
      <c r="B586" s="19"/>
      <c r="C586" s="19"/>
      <c r="D586" s="5"/>
    </row>
    <row r="587">
      <c r="A587" s="19"/>
      <c r="B587" s="19"/>
      <c r="C587" s="19"/>
      <c r="D587" s="5"/>
    </row>
    <row r="588">
      <c r="A588" s="19"/>
      <c r="B588" s="19"/>
      <c r="C588" s="19"/>
      <c r="D588" s="5"/>
    </row>
    <row r="589">
      <c r="A589" s="19"/>
      <c r="B589" s="19"/>
      <c r="C589" s="19"/>
      <c r="D589" s="5"/>
    </row>
    <row r="590">
      <c r="A590" s="19"/>
      <c r="B590" s="19"/>
      <c r="C590" s="19"/>
      <c r="D590" s="5"/>
    </row>
    <row r="591">
      <c r="A591" s="19"/>
      <c r="B591" s="19"/>
      <c r="C591" s="19"/>
      <c r="D591" s="5"/>
    </row>
    <row r="592">
      <c r="A592" s="19"/>
      <c r="B592" s="19"/>
      <c r="C592" s="19"/>
      <c r="D592" s="5"/>
    </row>
    <row r="593">
      <c r="A593" s="19"/>
      <c r="B593" s="19"/>
      <c r="C593" s="19"/>
      <c r="D593" s="5"/>
    </row>
    <row r="594">
      <c r="A594" s="19"/>
      <c r="B594" s="19"/>
      <c r="C594" s="19"/>
      <c r="D594" s="5"/>
    </row>
    <row r="595">
      <c r="A595" s="19"/>
      <c r="B595" s="19"/>
      <c r="C595" s="19"/>
      <c r="D595" s="5"/>
    </row>
    <row r="596">
      <c r="A596" s="19"/>
      <c r="B596" s="19"/>
      <c r="C596" s="19"/>
      <c r="D596" s="5"/>
    </row>
    <row r="597">
      <c r="A597" s="19"/>
      <c r="B597" s="19"/>
      <c r="C597" s="19"/>
      <c r="D597" s="5"/>
    </row>
    <row r="598">
      <c r="A598" s="19"/>
      <c r="B598" s="19"/>
      <c r="C598" s="19"/>
      <c r="D598" s="5"/>
    </row>
    <row r="599">
      <c r="A599" s="19"/>
      <c r="B599" s="19"/>
      <c r="C599" s="19"/>
      <c r="D599" s="5"/>
    </row>
    <row r="600">
      <c r="A600" s="19"/>
      <c r="B600" s="19"/>
      <c r="C600" s="19"/>
      <c r="D600" s="5"/>
    </row>
    <row r="601">
      <c r="A601" s="19"/>
      <c r="B601" s="19"/>
      <c r="C601" s="19"/>
      <c r="D601" s="5"/>
    </row>
    <row r="602">
      <c r="A602" s="19"/>
      <c r="B602" s="19"/>
      <c r="C602" s="19"/>
      <c r="D602" s="5"/>
    </row>
    <row r="603">
      <c r="A603" s="19"/>
      <c r="B603" s="19"/>
      <c r="C603" s="19"/>
      <c r="D603" s="5"/>
    </row>
    <row r="604">
      <c r="A604" s="19"/>
      <c r="B604" s="19"/>
      <c r="C604" s="19"/>
      <c r="D604" s="5"/>
    </row>
    <row r="605">
      <c r="A605" s="19"/>
      <c r="B605" s="19"/>
      <c r="C605" s="19"/>
      <c r="D605" s="5"/>
    </row>
    <row r="606">
      <c r="A606" s="19"/>
      <c r="B606" s="19"/>
      <c r="C606" s="19"/>
      <c r="D606" s="5"/>
    </row>
    <row r="607">
      <c r="A607" s="19"/>
      <c r="B607" s="19"/>
      <c r="C607" s="19"/>
      <c r="D607" s="5"/>
    </row>
    <row r="608">
      <c r="A608" s="19"/>
      <c r="B608" s="19"/>
      <c r="C608" s="19"/>
      <c r="D608" s="5"/>
    </row>
    <row r="609">
      <c r="A609" s="19"/>
      <c r="B609" s="19"/>
      <c r="C609" s="19"/>
      <c r="D609" s="5"/>
    </row>
    <row r="610">
      <c r="A610" s="19"/>
      <c r="B610" s="19"/>
      <c r="C610" s="19"/>
      <c r="D610" s="5"/>
    </row>
    <row r="611">
      <c r="A611" s="19"/>
      <c r="B611" s="19"/>
      <c r="C611" s="19"/>
      <c r="D611" s="5"/>
    </row>
    <row r="612">
      <c r="A612" s="19"/>
      <c r="B612" s="19"/>
      <c r="C612" s="19"/>
      <c r="D612" s="5"/>
    </row>
    <row r="613">
      <c r="A613" s="19"/>
      <c r="B613" s="19"/>
      <c r="C613" s="19"/>
      <c r="D613" s="5"/>
    </row>
    <row r="614">
      <c r="A614" s="19"/>
      <c r="B614" s="19"/>
      <c r="C614" s="19"/>
      <c r="D614" s="5"/>
    </row>
    <row r="615">
      <c r="A615" s="19"/>
      <c r="B615" s="19"/>
      <c r="C615" s="19"/>
      <c r="D615" s="5"/>
    </row>
    <row r="616">
      <c r="A616" s="19"/>
      <c r="B616" s="19"/>
      <c r="C616" s="19"/>
      <c r="D616" s="5"/>
    </row>
    <row r="617">
      <c r="A617" s="19"/>
      <c r="B617" s="19"/>
      <c r="C617" s="19"/>
      <c r="D617" s="5"/>
    </row>
    <row r="618">
      <c r="A618" s="19"/>
      <c r="B618" s="19"/>
      <c r="C618" s="19"/>
      <c r="D618" s="5"/>
    </row>
    <row r="619">
      <c r="A619" s="19"/>
      <c r="B619" s="19"/>
      <c r="C619" s="19"/>
      <c r="D619" s="5"/>
    </row>
    <row r="620">
      <c r="A620" s="19"/>
      <c r="B620" s="19"/>
      <c r="C620" s="19"/>
      <c r="D620" s="5"/>
    </row>
    <row r="621">
      <c r="A621" s="19"/>
      <c r="B621" s="19"/>
      <c r="C621" s="19"/>
      <c r="D621" s="5"/>
    </row>
    <row r="622">
      <c r="A622" s="19"/>
      <c r="B622" s="19"/>
      <c r="C622" s="19"/>
      <c r="D622" s="5"/>
    </row>
    <row r="623">
      <c r="A623" s="19"/>
      <c r="B623" s="19"/>
      <c r="C623" s="19"/>
      <c r="D623" s="5"/>
    </row>
    <row r="624">
      <c r="A624" s="19"/>
      <c r="B624" s="19"/>
      <c r="C624" s="19"/>
      <c r="D624" s="5"/>
    </row>
    <row r="625">
      <c r="A625" s="19"/>
      <c r="B625" s="19"/>
      <c r="C625" s="19"/>
      <c r="D625" s="5"/>
    </row>
    <row r="626">
      <c r="A626" s="19"/>
      <c r="B626" s="19"/>
      <c r="C626" s="19"/>
      <c r="D626" s="5"/>
    </row>
    <row r="627">
      <c r="A627" s="19"/>
      <c r="B627" s="19"/>
      <c r="C627" s="19"/>
      <c r="D627" s="5"/>
    </row>
    <row r="628">
      <c r="A628" s="19"/>
      <c r="B628" s="19"/>
      <c r="C628" s="19"/>
      <c r="D628" s="5"/>
    </row>
    <row r="629">
      <c r="A629" s="19"/>
      <c r="B629" s="19"/>
      <c r="C629" s="19"/>
      <c r="D629" s="5"/>
    </row>
    <row r="630">
      <c r="A630" s="19"/>
      <c r="B630" s="19"/>
      <c r="C630" s="19"/>
      <c r="D630" s="5"/>
    </row>
    <row r="631">
      <c r="A631" s="19"/>
      <c r="B631" s="19"/>
      <c r="C631" s="19"/>
      <c r="D631" s="5"/>
    </row>
    <row r="632">
      <c r="A632" s="19"/>
      <c r="B632" s="19"/>
      <c r="C632" s="19"/>
      <c r="D632" s="5"/>
    </row>
    <row r="633">
      <c r="A633" s="19"/>
      <c r="B633" s="19"/>
      <c r="C633" s="19"/>
      <c r="D633" s="5"/>
    </row>
    <row r="634">
      <c r="A634" s="19"/>
      <c r="B634" s="19"/>
      <c r="C634" s="19"/>
      <c r="D634" s="5"/>
    </row>
    <row r="635">
      <c r="A635" s="19"/>
      <c r="B635" s="19"/>
      <c r="C635" s="19"/>
      <c r="D635" s="5"/>
    </row>
    <row r="636">
      <c r="A636" s="19"/>
      <c r="B636" s="19"/>
      <c r="C636" s="19"/>
      <c r="D636" s="5"/>
    </row>
    <row r="637">
      <c r="A637" s="19"/>
      <c r="B637" s="19"/>
      <c r="C637" s="19"/>
      <c r="D637" s="5"/>
    </row>
    <row r="638">
      <c r="A638" s="19"/>
      <c r="B638" s="19"/>
      <c r="C638" s="19"/>
      <c r="D638" s="5"/>
    </row>
    <row r="639">
      <c r="A639" s="19"/>
      <c r="B639" s="19"/>
      <c r="C639" s="19"/>
      <c r="D639" s="5"/>
    </row>
    <row r="640">
      <c r="A640" s="19"/>
      <c r="B640" s="19"/>
      <c r="C640" s="19"/>
      <c r="D640" s="5"/>
    </row>
    <row r="641">
      <c r="A641" s="19"/>
      <c r="B641" s="19"/>
      <c r="C641" s="19"/>
      <c r="D641" s="5"/>
    </row>
    <row r="642">
      <c r="A642" s="19"/>
      <c r="B642" s="19"/>
      <c r="C642" s="19"/>
      <c r="D642" s="5"/>
    </row>
    <row r="643">
      <c r="A643" s="19"/>
      <c r="B643" s="19"/>
      <c r="C643" s="19"/>
      <c r="D643" s="5"/>
    </row>
    <row r="644">
      <c r="A644" s="19"/>
      <c r="B644" s="19"/>
      <c r="C644" s="19"/>
      <c r="D644" s="5"/>
    </row>
    <row r="645">
      <c r="A645" s="19"/>
      <c r="B645" s="19"/>
      <c r="C645" s="19"/>
      <c r="D645" s="5"/>
    </row>
    <row r="646">
      <c r="A646" s="19"/>
      <c r="B646" s="19"/>
      <c r="C646" s="19"/>
      <c r="D646" s="5"/>
    </row>
    <row r="647">
      <c r="A647" s="19"/>
      <c r="B647" s="19"/>
      <c r="C647" s="19"/>
      <c r="D647" s="5"/>
    </row>
    <row r="648">
      <c r="A648" s="19"/>
      <c r="B648" s="19"/>
      <c r="C648" s="19"/>
      <c r="D648" s="5"/>
    </row>
    <row r="649">
      <c r="A649" s="19"/>
      <c r="B649" s="19"/>
      <c r="C649" s="19"/>
      <c r="D649" s="5"/>
    </row>
    <row r="650">
      <c r="A650" s="19"/>
      <c r="B650" s="19"/>
      <c r="C650" s="19"/>
      <c r="D650" s="5"/>
    </row>
    <row r="651">
      <c r="A651" s="19"/>
      <c r="B651" s="19"/>
      <c r="C651" s="19"/>
      <c r="D651" s="5"/>
    </row>
    <row r="652">
      <c r="A652" s="19"/>
      <c r="B652" s="19"/>
      <c r="C652" s="19"/>
      <c r="D652" s="5"/>
    </row>
    <row r="653">
      <c r="A653" s="19"/>
      <c r="B653" s="19"/>
      <c r="C653" s="19"/>
      <c r="D653" s="5"/>
    </row>
    <row r="654">
      <c r="A654" s="19"/>
      <c r="B654" s="19"/>
      <c r="C654" s="19"/>
      <c r="D654" s="5"/>
    </row>
    <row r="655">
      <c r="A655" s="19"/>
      <c r="B655" s="19"/>
      <c r="C655" s="19"/>
      <c r="D655" s="5"/>
    </row>
    <row r="656">
      <c r="A656" s="19"/>
      <c r="B656" s="19"/>
      <c r="C656" s="19"/>
      <c r="D656" s="5"/>
    </row>
    <row r="657">
      <c r="A657" s="19"/>
      <c r="B657" s="19"/>
      <c r="C657" s="19"/>
      <c r="D657" s="5"/>
    </row>
    <row r="658">
      <c r="A658" s="19"/>
      <c r="B658" s="19"/>
      <c r="C658" s="19"/>
      <c r="D658" s="5"/>
    </row>
    <row r="659">
      <c r="A659" s="19"/>
      <c r="B659" s="19"/>
      <c r="C659" s="19"/>
      <c r="D659" s="5"/>
    </row>
    <row r="660">
      <c r="A660" s="19"/>
      <c r="B660" s="19"/>
      <c r="C660" s="19"/>
      <c r="D660" s="5"/>
    </row>
    <row r="661">
      <c r="A661" s="19"/>
      <c r="B661" s="19"/>
      <c r="C661" s="19"/>
      <c r="D661" s="5"/>
    </row>
    <row r="662">
      <c r="A662" s="19"/>
      <c r="B662" s="19"/>
      <c r="C662" s="19"/>
      <c r="D662" s="5"/>
    </row>
    <row r="663">
      <c r="A663" s="19"/>
      <c r="B663" s="19"/>
      <c r="C663" s="19"/>
      <c r="D663" s="5"/>
    </row>
    <row r="664">
      <c r="A664" s="19"/>
      <c r="B664" s="19"/>
      <c r="C664" s="19"/>
      <c r="D664" s="5"/>
    </row>
    <row r="665">
      <c r="A665" s="19"/>
      <c r="B665" s="19"/>
      <c r="C665" s="19"/>
      <c r="D665" s="5"/>
    </row>
    <row r="666">
      <c r="A666" s="19"/>
      <c r="B666" s="19"/>
      <c r="C666" s="19"/>
      <c r="D666" s="5"/>
    </row>
    <row r="667">
      <c r="A667" s="19"/>
      <c r="B667" s="19"/>
      <c r="C667" s="19"/>
      <c r="D667" s="5"/>
    </row>
    <row r="668">
      <c r="A668" s="19"/>
      <c r="B668" s="19"/>
      <c r="C668" s="19"/>
      <c r="D668" s="5"/>
    </row>
    <row r="669">
      <c r="A669" s="19"/>
      <c r="B669" s="19"/>
      <c r="C669" s="19"/>
      <c r="D669" s="5"/>
    </row>
    <row r="670">
      <c r="A670" s="19"/>
      <c r="B670" s="19"/>
      <c r="C670" s="19"/>
      <c r="D670" s="5"/>
    </row>
    <row r="671">
      <c r="A671" s="19"/>
      <c r="B671" s="19"/>
      <c r="C671" s="19"/>
      <c r="D671" s="5"/>
    </row>
    <row r="672">
      <c r="A672" s="19"/>
      <c r="B672" s="19"/>
      <c r="C672" s="19"/>
      <c r="D672" s="5"/>
    </row>
    <row r="673">
      <c r="A673" s="19"/>
      <c r="B673" s="19"/>
      <c r="C673" s="19"/>
      <c r="D673" s="5"/>
    </row>
    <row r="674">
      <c r="A674" s="19"/>
      <c r="B674" s="19"/>
      <c r="C674" s="19"/>
      <c r="D674" s="5"/>
    </row>
    <row r="675">
      <c r="A675" s="19"/>
      <c r="B675" s="19"/>
      <c r="C675" s="19"/>
      <c r="D675" s="5"/>
    </row>
    <row r="676">
      <c r="A676" s="19"/>
      <c r="B676" s="19"/>
      <c r="C676" s="19"/>
      <c r="D676" s="5"/>
    </row>
    <row r="677">
      <c r="A677" s="19"/>
      <c r="B677" s="19"/>
      <c r="C677" s="19"/>
      <c r="D677" s="5"/>
    </row>
    <row r="678">
      <c r="A678" s="19"/>
      <c r="B678" s="19"/>
      <c r="C678" s="19"/>
      <c r="D678" s="5"/>
    </row>
    <row r="679">
      <c r="A679" s="19"/>
      <c r="B679" s="19"/>
      <c r="C679" s="19"/>
      <c r="D679" s="5"/>
    </row>
    <row r="680">
      <c r="A680" s="19"/>
      <c r="B680" s="19"/>
      <c r="C680" s="19"/>
      <c r="D680" s="5"/>
    </row>
    <row r="681">
      <c r="A681" s="19"/>
      <c r="B681" s="19"/>
      <c r="C681" s="19"/>
      <c r="D681" s="5"/>
    </row>
    <row r="682">
      <c r="A682" s="19"/>
      <c r="B682" s="19"/>
      <c r="C682" s="19"/>
      <c r="D682" s="5"/>
    </row>
    <row r="683">
      <c r="A683" s="19"/>
      <c r="B683" s="19"/>
      <c r="C683" s="19"/>
      <c r="D683" s="5"/>
    </row>
    <row r="684">
      <c r="A684" s="19"/>
      <c r="B684" s="19"/>
      <c r="C684" s="19"/>
      <c r="D684" s="5"/>
    </row>
    <row r="685">
      <c r="A685" s="19"/>
      <c r="B685" s="19"/>
      <c r="C685" s="19"/>
      <c r="D685" s="5"/>
    </row>
    <row r="686">
      <c r="A686" s="19"/>
      <c r="B686" s="19"/>
      <c r="C686" s="19"/>
      <c r="D686" s="5"/>
    </row>
    <row r="687">
      <c r="A687" s="19"/>
      <c r="B687" s="19"/>
      <c r="C687" s="19"/>
      <c r="D687" s="5"/>
    </row>
    <row r="688">
      <c r="A688" s="19"/>
      <c r="B688" s="19"/>
      <c r="C688" s="19"/>
      <c r="D688" s="5"/>
    </row>
    <row r="689">
      <c r="A689" s="19"/>
      <c r="B689" s="19"/>
      <c r="C689" s="19"/>
      <c r="D689" s="5"/>
    </row>
    <row r="690">
      <c r="A690" s="19"/>
      <c r="B690" s="19"/>
      <c r="C690" s="19"/>
      <c r="D690" s="5"/>
    </row>
    <row r="691">
      <c r="A691" s="19"/>
      <c r="B691" s="19"/>
      <c r="C691" s="19"/>
      <c r="D691" s="5"/>
    </row>
    <row r="692">
      <c r="A692" s="19"/>
      <c r="B692" s="19"/>
      <c r="C692" s="19"/>
      <c r="D692" s="5"/>
    </row>
    <row r="693">
      <c r="A693" s="19"/>
      <c r="B693" s="19"/>
      <c r="C693" s="19"/>
      <c r="D693" s="5"/>
    </row>
    <row r="694">
      <c r="A694" s="19"/>
      <c r="B694" s="19"/>
      <c r="C694" s="19"/>
      <c r="D694" s="5"/>
    </row>
    <row r="695">
      <c r="A695" s="19"/>
      <c r="B695" s="19"/>
      <c r="C695" s="19"/>
      <c r="D695" s="5"/>
    </row>
    <row r="696">
      <c r="A696" s="19"/>
      <c r="B696" s="19"/>
      <c r="C696" s="19"/>
      <c r="D696" s="5"/>
    </row>
    <row r="697">
      <c r="A697" s="19"/>
      <c r="B697" s="19"/>
      <c r="C697" s="19"/>
      <c r="D697" s="5"/>
    </row>
    <row r="698">
      <c r="A698" s="19"/>
      <c r="B698" s="19"/>
      <c r="C698" s="19"/>
      <c r="D698" s="5"/>
    </row>
    <row r="699">
      <c r="A699" s="19"/>
      <c r="B699" s="19"/>
      <c r="C699" s="19"/>
      <c r="D699" s="5"/>
    </row>
    <row r="700">
      <c r="A700" s="19"/>
      <c r="B700" s="19"/>
      <c r="C700" s="19"/>
      <c r="D700" s="5"/>
    </row>
    <row r="701">
      <c r="A701" s="19"/>
      <c r="B701" s="19"/>
      <c r="C701" s="19"/>
      <c r="D701" s="5"/>
    </row>
    <row r="702">
      <c r="A702" s="19"/>
      <c r="B702" s="19"/>
      <c r="C702" s="19"/>
      <c r="D702" s="5"/>
    </row>
    <row r="703">
      <c r="A703" s="19"/>
      <c r="B703" s="19"/>
      <c r="C703" s="19"/>
      <c r="D703" s="5"/>
    </row>
    <row r="704">
      <c r="A704" s="19"/>
      <c r="B704" s="19"/>
      <c r="C704" s="19"/>
      <c r="D704" s="5"/>
    </row>
    <row r="705">
      <c r="A705" s="19"/>
      <c r="B705" s="19"/>
      <c r="C705" s="19"/>
      <c r="D705" s="5"/>
    </row>
    <row r="706">
      <c r="A706" s="19"/>
      <c r="B706" s="19"/>
      <c r="C706" s="19"/>
      <c r="D706" s="5"/>
    </row>
    <row r="707">
      <c r="A707" s="19"/>
      <c r="B707" s="19"/>
      <c r="C707" s="19"/>
      <c r="D707" s="5"/>
    </row>
    <row r="708">
      <c r="A708" s="19"/>
      <c r="B708" s="19"/>
      <c r="C708" s="19"/>
      <c r="D708" s="5"/>
    </row>
    <row r="709">
      <c r="A709" s="19"/>
      <c r="B709" s="19"/>
      <c r="C709" s="19"/>
      <c r="D709" s="5"/>
    </row>
    <row r="710">
      <c r="A710" s="19"/>
      <c r="B710" s="19"/>
      <c r="C710" s="19"/>
      <c r="D710" s="5"/>
    </row>
    <row r="711">
      <c r="A711" s="19"/>
      <c r="B711" s="19"/>
      <c r="C711" s="19"/>
      <c r="D711" s="5"/>
    </row>
    <row r="712">
      <c r="A712" s="19"/>
      <c r="B712" s="19"/>
      <c r="C712" s="19"/>
      <c r="D712" s="5"/>
    </row>
    <row r="713">
      <c r="A713" s="19"/>
      <c r="B713" s="19"/>
      <c r="C713" s="19"/>
      <c r="D713" s="5"/>
    </row>
    <row r="714">
      <c r="A714" s="19"/>
      <c r="B714" s="19"/>
      <c r="C714" s="19"/>
      <c r="D714" s="5"/>
    </row>
    <row r="715">
      <c r="A715" s="19"/>
      <c r="B715" s="19"/>
      <c r="C715" s="19"/>
      <c r="D715" s="5"/>
    </row>
    <row r="716">
      <c r="A716" s="19"/>
      <c r="B716" s="19"/>
      <c r="C716" s="19"/>
      <c r="D716" s="5"/>
    </row>
    <row r="717">
      <c r="A717" s="19"/>
      <c r="B717" s="19"/>
      <c r="C717" s="19"/>
      <c r="D717" s="5"/>
    </row>
    <row r="718">
      <c r="A718" s="19"/>
      <c r="B718" s="19"/>
      <c r="C718" s="19"/>
      <c r="D718" s="5"/>
    </row>
    <row r="719">
      <c r="A719" s="19"/>
      <c r="B719" s="19"/>
      <c r="C719" s="19"/>
      <c r="D719" s="5"/>
    </row>
    <row r="720">
      <c r="A720" s="19"/>
      <c r="B720" s="19"/>
      <c r="C720" s="19"/>
      <c r="D720" s="5"/>
    </row>
    <row r="721">
      <c r="A721" s="19"/>
      <c r="B721" s="19"/>
      <c r="C721" s="19"/>
      <c r="D721" s="5"/>
    </row>
    <row r="722">
      <c r="A722" s="19"/>
      <c r="B722" s="19"/>
      <c r="C722" s="19"/>
      <c r="D722" s="5"/>
    </row>
    <row r="723">
      <c r="A723" s="19"/>
      <c r="B723" s="19"/>
      <c r="C723" s="19"/>
      <c r="D723" s="5"/>
    </row>
    <row r="724">
      <c r="A724" s="19"/>
      <c r="B724" s="19"/>
      <c r="C724" s="19"/>
      <c r="D724" s="5"/>
    </row>
    <row r="725">
      <c r="A725" s="19"/>
      <c r="B725" s="19"/>
      <c r="C725" s="19"/>
      <c r="D725" s="5"/>
    </row>
    <row r="726">
      <c r="A726" s="19"/>
      <c r="B726" s="19"/>
      <c r="C726" s="19"/>
      <c r="D726" s="5"/>
    </row>
    <row r="727">
      <c r="A727" s="19"/>
      <c r="B727" s="19"/>
      <c r="C727" s="19"/>
      <c r="D727" s="5"/>
    </row>
    <row r="728">
      <c r="A728" s="19"/>
      <c r="B728" s="19"/>
      <c r="C728" s="19"/>
      <c r="D728" s="5"/>
    </row>
    <row r="729">
      <c r="A729" s="19"/>
      <c r="B729" s="19"/>
      <c r="C729" s="19"/>
      <c r="D729" s="5"/>
    </row>
    <row r="730">
      <c r="A730" s="19"/>
      <c r="B730" s="19"/>
      <c r="C730" s="19"/>
      <c r="D730" s="5"/>
    </row>
    <row r="731">
      <c r="A731" s="19"/>
      <c r="B731" s="19"/>
      <c r="C731" s="19"/>
      <c r="D731" s="5"/>
    </row>
    <row r="732">
      <c r="A732" s="19"/>
      <c r="B732" s="19"/>
      <c r="C732" s="19"/>
      <c r="D732" s="5"/>
    </row>
    <row r="733">
      <c r="A733" s="19"/>
      <c r="B733" s="19"/>
      <c r="C733" s="19"/>
      <c r="D733" s="5"/>
    </row>
    <row r="734">
      <c r="A734" s="19"/>
      <c r="B734" s="19"/>
      <c r="C734" s="19"/>
      <c r="D734" s="5"/>
    </row>
    <row r="735">
      <c r="A735" s="19"/>
      <c r="B735" s="19"/>
      <c r="C735" s="19"/>
      <c r="D735" s="5"/>
    </row>
    <row r="736">
      <c r="A736" s="19"/>
      <c r="B736" s="19"/>
      <c r="C736" s="19"/>
      <c r="D736" s="5"/>
    </row>
    <row r="737">
      <c r="A737" s="19"/>
      <c r="B737" s="19"/>
      <c r="C737" s="19"/>
      <c r="D737" s="5"/>
    </row>
    <row r="738">
      <c r="A738" s="19"/>
      <c r="B738" s="19"/>
      <c r="C738" s="19"/>
      <c r="D738" s="5"/>
    </row>
    <row r="739">
      <c r="A739" s="19"/>
      <c r="B739" s="19"/>
      <c r="C739" s="19"/>
      <c r="D739" s="5"/>
    </row>
    <row r="740">
      <c r="A740" s="19"/>
      <c r="B740" s="19"/>
      <c r="C740" s="19"/>
      <c r="D740" s="5"/>
    </row>
    <row r="741">
      <c r="A741" s="19"/>
      <c r="B741" s="19"/>
      <c r="C741" s="19"/>
      <c r="D741" s="5"/>
    </row>
    <row r="742">
      <c r="A742" s="19"/>
      <c r="B742" s="19"/>
      <c r="C742" s="19"/>
      <c r="D742" s="5"/>
    </row>
    <row r="743">
      <c r="A743" s="19"/>
      <c r="B743" s="19"/>
      <c r="C743" s="19"/>
      <c r="D743" s="5"/>
    </row>
    <row r="744">
      <c r="A744" s="19"/>
      <c r="B744" s="19"/>
      <c r="C744" s="19"/>
      <c r="D744" s="5"/>
    </row>
    <row r="745">
      <c r="A745" s="19"/>
      <c r="B745" s="19"/>
      <c r="C745" s="19"/>
      <c r="D745" s="5"/>
    </row>
    <row r="746">
      <c r="A746" s="19"/>
      <c r="B746" s="19"/>
      <c r="C746" s="19"/>
      <c r="D746" s="5"/>
    </row>
    <row r="747">
      <c r="A747" s="19"/>
      <c r="B747" s="19"/>
      <c r="C747" s="19"/>
      <c r="D747" s="5"/>
    </row>
    <row r="748">
      <c r="A748" s="19"/>
      <c r="B748" s="19"/>
      <c r="C748" s="19"/>
      <c r="D748" s="5"/>
    </row>
    <row r="749">
      <c r="A749" s="19"/>
      <c r="B749" s="19"/>
      <c r="C749" s="19"/>
      <c r="D749" s="5"/>
    </row>
    <row r="750">
      <c r="A750" s="19"/>
      <c r="B750" s="19"/>
      <c r="C750" s="19"/>
      <c r="D750" s="5"/>
    </row>
    <row r="751">
      <c r="A751" s="19"/>
      <c r="B751" s="19"/>
      <c r="C751" s="19"/>
      <c r="D751" s="5"/>
    </row>
    <row r="752">
      <c r="A752" s="19"/>
      <c r="B752" s="19"/>
      <c r="C752" s="19"/>
      <c r="D752" s="5"/>
    </row>
    <row r="753">
      <c r="A753" s="19"/>
      <c r="B753" s="19"/>
      <c r="C753" s="19"/>
      <c r="D753" s="5"/>
    </row>
    <row r="754">
      <c r="A754" s="19"/>
      <c r="B754" s="19"/>
      <c r="C754" s="19"/>
      <c r="D754" s="5"/>
    </row>
    <row r="755">
      <c r="A755" s="19"/>
      <c r="B755" s="19"/>
      <c r="C755" s="19"/>
      <c r="D755" s="5"/>
    </row>
    <row r="756">
      <c r="A756" s="19"/>
      <c r="B756" s="19"/>
      <c r="C756" s="19"/>
      <c r="D756" s="5"/>
    </row>
    <row r="757">
      <c r="A757" s="19"/>
      <c r="B757" s="19"/>
      <c r="C757" s="19"/>
      <c r="D757" s="5"/>
    </row>
    <row r="758">
      <c r="A758" s="19"/>
      <c r="B758" s="19"/>
      <c r="C758" s="19"/>
      <c r="D758" s="5"/>
    </row>
    <row r="759">
      <c r="A759" s="19"/>
      <c r="B759" s="19"/>
      <c r="C759" s="19"/>
      <c r="D759" s="5"/>
    </row>
    <row r="760">
      <c r="A760" s="19"/>
      <c r="B760" s="19"/>
      <c r="C760" s="19"/>
      <c r="D760" s="5"/>
    </row>
    <row r="761">
      <c r="A761" s="19"/>
      <c r="B761" s="19"/>
      <c r="C761" s="19"/>
      <c r="D761" s="5"/>
    </row>
    <row r="762">
      <c r="A762" s="19"/>
      <c r="B762" s="19"/>
      <c r="C762" s="19"/>
      <c r="D762" s="5"/>
    </row>
    <row r="763">
      <c r="A763" s="19"/>
      <c r="B763" s="19"/>
      <c r="C763" s="19"/>
      <c r="D763" s="5"/>
    </row>
    <row r="764">
      <c r="A764" s="19"/>
      <c r="B764" s="19"/>
      <c r="C764" s="19"/>
      <c r="D764" s="5"/>
    </row>
    <row r="765">
      <c r="A765" s="19"/>
      <c r="B765" s="19"/>
      <c r="C765" s="19"/>
      <c r="D765" s="5"/>
    </row>
    <row r="766">
      <c r="A766" s="19"/>
      <c r="B766" s="19"/>
      <c r="C766" s="19"/>
      <c r="D766" s="5"/>
    </row>
    <row r="767">
      <c r="A767" s="19"/>
      <c r="B767" s="19"/>
      <c r="C767" s="19"/>
      <c r="D767" s="5"/>
    </row>
    <row r="768">
      <c r="A768" s="19"/>
      <c r="B768" s="19"/>
      <c r="C768" s="19"/>
      <c r="D768" s="5"/>
    </row>
    <row r="769">
      <c r="A769" s="19"/>
      <c r="B769" s="19"/>
      <c r="C769" s="19"/>
      <c r="D769" s="5"/>
    </row>
    <row r="770">
      <c r="A770" s="19"/>
      <c r="B770" s="19"/>
      <c r="C770" s="19"/>
      <c r="D770" s="5"/>
    </row>
    <row r="771">
      <c r="A771" s="19"/>
      <c r="B771" s="19"/>
      <c r="C771" s="19"/>
      <c r="D771" s="5"/>
    </row>
    <row r="772">
      <c r="A772" s="19"/>
      <c r="B772" s="19"/>
      <c r="C772" s="19"/>
      <c r="D772" s="5"/>
    </row>
    <row r="773">
      <c r="A773" s="19"/>
      <c r="B773" s="19"/>
      <c r="C773" s="19"/>
      <c r="D773" s="5"/>
    </row>
    <row r="774">
      <c r="A774" s="19"/>
      <c r="B774" s="19"/>
      <c r="C774" s="19"/>
      <c r="D774" s="5"/>
    </row>
    <row r="775">
      <c r="A775" s="19"/>
      <c r="B775" s="19"/>
      <c r="C775" s="19"/>
      <c r="D775" s="5"/>
    </row>
    <row r="776">
      <c r="A776" s="19"/>
      <c r="B776" s="19"/>
      <c r="C776" s="19"/>
      <c r="D776" s="5"/>
    </row>
    <row r="777">
      <c r="A777" s="19"/>
      <c r="B777" s="19"/>
      <c r="C777" s="19"/>
      <c r="D777" s="5"/>
    </row>
    <row r="778">
      <c r="A778" s="19"/>
      <c r="B778" s="19"/>
      <c r="C778" s="19"/>
      <c r="D778" s="5"/>
    </row>
    <row r="779">
      <c r="A779" s="19"/>
      <c r="B779" s="19"/>
      <c r="C779" s="19"/>
      <c r="D779" s="5"/>
    </row>
    <row r="780">
      <c r="A780" s="19"/>
      <c r="B780" s="19"/>
      <c r="C780" s="19"/>
      <c r="D780" s="5"/>
    </row>
    <row r="781">
      <c r="A781" s="19"/>
      <c r="B781" s="19"/>
      <c r="C781" s="19"/>
      <c r="D781" s="5"/>
    </row>
    <row r="782">
      <c r="A782" s="19"/>
      <c r="B782" s="19"/>
      <c r="C782" s="19"/>
      <c r="D782" s="5"/>
    </row>
    <row r="783">
      <c r="A783" s="19"/>
      <c r="B783" s="19"/>
      <c r="C783" s="19"/>
      <c r="D783" s="5"/>
    </row>
    <row r="784">
      <c r="A784" s="19"/>
      <c r="B784" s="19"/>
      <c r="C784" s="19"/>
      <c r="D784" s="5"/>
    </row>
    <row r="785">
      <c r="A785" s="19"/>
      <c r="B785" s="19"/>
      <c r="C785" s="19"/>
      <c r="D785" s="5"/>
    </row>
    <row r="786">
      <c r="A786" s="19"/>
      <c r="B786" s="19"/>
      <c r="C786" s="19"/>
      <c r="D786" s="5"/>
    </row>
    <row r="787">
      <c r="A787" s="19"/>
      <c r="B787" s="19"/>
      <c r="C787" s="19"/>
      <c r="D787" s="5"/>
    </row>
    <row r="788">
      <c r="A788" s="19"/>
      <c r="B788" s="19"/>
      <c r="C788" s="19"/>
      <c r="D788" s="5"/>
    </row>
    <row r="789">
      <c r="A789" s="19"/>
      <c r="B789" s="19"/>
      <c r="C789" s="19"/>
      <c r="D789" s="5"/>
    </row>
    <row r="790">
      <c r="A790" s="19"/>
      <c r="B790" s="19"/>
      <c r="C790" s="19"/>
      <c r="D790" s="5"/>
    </row>
    <row r="791">
      <c r="A791" s="19"/>
      <c r="B791" s="19"/>
      <c r="C791" s="19"/>
      <c r="D791" s="5"/>
    </row>
    <row r="792">
      <c r="A792" s="19"/>
      <c r="B792" s="19"/>
      <c r="C792" s="19"/>
      <c r="D792" s="5"/>
    </row>
    <row r="793">
      <c r="A793" s="19"/>
      <c r="B793" s="19"/>
      <c r="C793" s="19"/>
      <c r="D793" s="5"/>
    </row>
    <row r="794">
      <c r="A794" s="19"/>
      <c r="B794" s="19"/>
      <c r="C794" s="19"/>
      <c r="D794" s="5"/>
    </row>
    <row r="795">
      <c r="A795" s="19"/>
      <c r="B795" s="19"/>
      <c r="C795" s="19"/>
      <c r="D795" s="5"/>
    </row>
    <row r="796">
      <c r="A796" s="19"/>
      <c r="B796" s="19"/>
      <c r="C796" s="19"/>
      <c r="D796" s="5"/>
    </row>
    <row r="797">
      <c r="A797" s="19"/>
      <c r="B797" s="19"/>
      <c r="C797" s="19"/>
      <c r="D797" s="5"/>
    </row>
    <row r="798">
      <c r="A798" s="19"/>
      <c r="B798" s="19"/>
      <c r="C798" s="19"/>
      <c r="D798" s="5"/>
    </row>
    <row r="799">
      <c r="A799" s="19"/>
      <c r="B799" s="19"/>
      <c r="C799" s="19"/>
      <c r="D799" s="5"/>
    </row>
    <row r="800">
      <c r="A800" s="19"/>
      <c r="B800" s="19"/>
      <c r="C800" s="19"/>
      <c r="D800" s="5"/>
    </row>
    <row r="801">
      <c r="A801" s="19"/>
      <c r="B801" s="19"/>
      <c r="C801" s="19"/>
      <c r="D801" s="5"/>
    </row>
    <row r="802">
      <c r="A802" s="19"/>
      <c r="B802" s="19"/>
      <c r="C802" s="19"/>
      <c r="D802" s="5"/>
    </row>
    <row r="803">
      <c r="A803" s="19"/>
      <c r="B803" s="19"/>
      <c r="C803" s="19"/>
      <c r="D803" s="5"/>
    </row>
    <row r="804">
      <c r="A804" s="19"/>
      <c r="B804" s="19"/>
      <c r="C804" s="19"/>
      <c r="D804" s="5"/>
    </row>
    <row r="805">
      <c r="A805" s="19"/>
      <c r="B805" s="19"/>
      <c r="C805" s="19"/>
      <c r="D805" s="5"/>
    </row>
    <row r="806">
      <c r="A806" s="19"/>
      <c r="B806" s="19"/>
      <c r="C806" s="19"/>
      <c r="D806" s="5"/>
    </row>
    <row r="807">
      <c r="A807" s="19"/>
      <c r="B807" s="19"/>
      <c r="C807" s="19"/>
      <c r="D807" s="5"/>
    </row>
    <row r="808">
      <c r="A808" s="19"/>
      <c r="B808" s="19"/>
      <c r="C808" s="19"/>
      <c r="D808" s="5"/>
    </row>
    <row r="809">
      <c r="A809" s="19"/>
      <c r="B809" s="19"/>
      <c r="C809" s="19"/>
      <c r="D809" s="5"/>
    </row>
    <row r="810">
      <c r="A810" s="19"/>
      <c r="B810" s="19"/>
      <c r="C810" s="19"/>
      <c r="D810" s="5"/>
    </row>
    <row r="811">
      <c r="A811" s="19"/>
      <c r="B811" s="19"/>
      <c r="C811" s="19"/>
      <c r="D811" s="5"/>
    </row>
    <row r="812">
      <c r="A812" s="19"/>
      <c r="B812" s="19"/>
      <c r="C812" s="19"/>
      <c r="D812" s="5"/>
    </row>
    <row r="813">
      <c r="A813" s="19"/>
      <c r="B813" s="19"/>
      <c r="C813" s="19"/>
      <c r="D813" s="5"/>
    </row>
    <row r="814">
      <c r="A814" s="19"/>
      <c r="B814" s="19"/>
      <c r="C814" s="19"/>
      <c r="D814" s="5"/>
    </row>
    <row r="815">
      <c r="A815" s="19"/>
      <c r="B815" s="19"/>
      <c r="C815" s="19"/>
      <c r="D815" s="5"/>
    </row>
    <row r="816">
      <c r="A816" s="19"/>
      <c r="B816" s="19"/>
      <c r="C816" s="19"/>
      <c r="D816" s="5"/>
    </row>
    <row r="817">
      <c r="A817" s="19"/>
      <c r="B817" s="19"/>
      <c r="C817" s="19"/>
      <c r="D817" s="5"/>
    </row>
    <row r="818">
      <c r="A818" s="19"/>
      <c r="B818" s="19"/>
      <c r="C818" s="19"/>
      <c r="D818" s="5"/>
    </row>
    <row r="819">
      <c r="A819" s="19"/>
      <c r="B819" s="19"/>
      <c r="C819" s="19"/>
      <c r="D819" s="5"/>
    </row>
    <row r="820">
      <c r="A820" s="19"/>
      <c r="B820" s="19"/>
      <c r="C820" s="19"/>
      <c r="D820" s="5"/>
    </row>
    <row r="821">
      <c r="A821" s="19"/>
      <c r="B821" s="19"/>
      <c r="C821" s="19"/>
      <c r="D821" s="5"/>
    </row>
    <row r="822">
      <c r="A822" s="19"/>
      <c r="B822" s="19"/>
      <c r="C822" s="19"/>
      <c r="D822" s="5"/>
    </row>
    <row r="823">
      <c r="A823" s="19"/>
      <c r="B823" s="19"/>
      <c r="C823" s="19"/>
      <c r="D823" s="5"/>
    </row>
    <row r="824">
      <c r="A824" s="19"/>
      <c r="B824" s="19"/>
      <c r="C824" s="19"/>
      <c r="D824" s="5"/>
    </row>
    <row r="825">
      <c r="A825" s="19"/>
      <c r="B825" s="19"/>
      <c r="C825" s="19"/>
      <c r="D825" s="5"/>
    </row>
    <row r="826">
      <c r="A826" s="19"/>
      <c r="B826" s="19"/>
      <c r="C826" s="19"/>
      <c r="D826" s="5"/>
    </row>
    <row r="827">
      <c r="A827" s="19"/>
      <c r="B827" s="19"/>
      <c r="C827" s="19"/>
      <c r="D827" s="5"/>
    </row>
    <row r="828">
      <c r="A828" s="19"/>
      <c r="B828" s="19"/>
      <c r="C828" s="19"/>
      <c r="D828" s="5"/>
    </row>
    <row r="829">
      <c r="A829" s="19"/>
      <c r="B829" s="19"/>
      <c r="C829" s="19"/>
      <c r="D829" s="5"/>
    </row>
    <row r="830">
      <c r="A830" s="19"/>
      <c r="B830" s="19"/>
      <c r="C830" s="19"/>
      <c r="D830" s="5"/>
    </row>
    <row r="831">
      <c r="A831" s="19"/>
      <c r="B831" s="19"/>
      <c r="C831" s="19"/>
      <c r="D831" s="5"/>
    </row>
    <row r="832">
      <c r="A832" s="19"/>
      <c r="B832" s="19"/>
      <c r="C832" s="19"/>
      <c r="D832" s="5"/>
    </row>
    <row r="833">
      <c r="A833" s="19"/>
      <c r="B833" s="19"/>
      <c r="C833" s="19"/>
      <c r="D833" s="5"/>
    </row>
    <row r="834">
      <c r="A834" s="19"/>
      <c r="B834" s="19"/>
      <c r="C834" s="19"/>
      <c r="D834" s="5"/>
    </row>
    <row r="835">
      <c r="A835" s="19"/>
      <c r="B835" s="19"/>
      <c r="C835" s="19"/>
      <c r="D835" s="5"/>
    </row>
    <row r="836">
      <c r="A836" s="19"/>
      <c r="B836" s="19"/>
      <c r="C836" s="19"/>
      <c r="D836" s="5"/>
    </row>
    <row r="837">
      <c r="A837" s="19"/>
      <c r="B837" s="19"/>
      <c r="C837" s="19"/>
      <c r="D837" s="5"/>
    </row>
    <row r="838">
      <c r="A838" s="19"/>
      <c r="B838" s="19"/>
      <c r="C838" s="19"/>
      <c r="D838" s="5"/>
    </row>
    <row r="839">
      <c r="A839" s="19"/>
      <c r="B839" s="19"/>
      <c r="C839" s="19"/>
      <c r="D839" s="5"/>
    </row>
    <row r="840">
      <c r="A840" s="19"/>
      <c r="B840" s="19"/>
      <c r="C840" s="19"/>
      <c r="D840" s="5"/>
    </row>
    <row r="841">
      <c r="A841" s="19"/>
      <c r="B841" s="19"/>
      <c r="C841" s="19"/>
      <c r="D841" s="5"/>
    </row>
    <row r="842">
      <c r="A842" s="19"/>
      <c r="B842" s="19"/>
      <c r="C842" s="19"/>
      <c r="D842" s="5"/>
    </row>
    <row r="843">
      <c r="A843" s="19"/>
      <c r="B843" s="19"/>
      <c r="C843" s="19"/>
      <c r="D843" s="5"/>
    </row>
    <row r="844">
      <c r="A844" s="19"/>
      <c r="B844" s="19"/>
      <c r="C844" s="19"/>
      <c r="D844" s="5"/>
    </row>
    <row r="845">
      <c r="A845" s="19"/>
      <c r="B845" s="19"/>
      <c r="C845" s="19"/>
      <c r="D845" s="5"/>
    </row>
    <row r="846">
      <c r="A846" s="19"/>
      <c r="B846" s="19"/>
      <c r="C846" s="19"/>
      <c r="D846" s="5"/>
    </row>
    <row r="847">
      <c r="A847" s="19"/>
      <c r="B847" s="19"/>
      <c r="C847" s="19"/>
      <c r="D847" s="5"/>
    </row>
    <row r="848">
      <c r="A848" s="19"/>
      <c r="B848" s="19"/>
      <c r="C848" s="19"/>
      <c r="D848" s="5"/>
    </row>
    <row r="849">
      <c r="A849" s="19"/>
      <c r="B849" s="19"/>
      <c r="C849" s="19"/>
      <c r="D849" s="5"/>
    </row>
    <row r="850">
      <c r="A850" s="19"/>
      <c r="B850" s="19"/>
      <c r="C850" s="19"/>
      <c r="D850" s="5"/>
    </row>
    <row r="851">
      <c r="A851" s="19"/>
      <c r="B851" s="19"/>
      <c r="C851" s="19"/>
      <c r="D851" s="5"/>
    </row>
    <row r="852">
      <c r="A852" s="19"/>
      <c r="B852" s="19"/>
      <c r="C852" s="19"/>
      <c r="D852" s="5"/>
    </row>
    <row r="853">
      <c r="A853" s="19"/>
      <c r="B853" s="19"/>
      <c r="C853" s="19"/>
      <c r="D853" s="5"/>
    </row>
    <row r="854">
      <c r="A854" s="19"/>
      <c r="B854" s="19"/>
      <c r="C854" s="19"/>
      <c r="D854" s="5"/>
    </row>
    <row r="855">
      <c r="A855" s="19"/>
      <c r="B855" s="19"/>
      <c r="C855" s="19"/>
      <c r="D855" s="5"/>
    </row>
    <row r="856">
      <c r="A856" s="19"/>
      <c r="B856" s="19"/>
      <c r="C856" s="19"/>
      <c r="D856" s="5"/>
    </row>
    <row r="857">
      <c r="A857" s="19"/>
      <c r="B857" s="19"/>
      <c r="C857" s="19"/>
      <c r="D857" s="5"/>
    </row>
    <row r="858">
      <c r="A858" s="19"/>
      <c r="B858" s="19"/>
      <c r="C858" s="19"/>
      <c r="D858" s="5"/>
    </row>
    <row r="859">
      <c r="A859" s="19"/>
      <c r="B859" s="19"/>
      <c r="C859" s="19"/>
      <c r="D859" s="5"/>
    </row>
    <row r="860">
      <c r="A860" s="19"/>
      <c r="B860" s="19"/>
      <c r="C860" s="19"/>
      <c r="D860" s="5"/>
    </row>
    <row r="861">
      <c r="A861" s="19"/>
      <c r="B861" s="19"/>
      <c r="C861" s="19"/>
      <c r="D861" s="5"/>
    </row>
    <row r="862">
      <c r="A862" s="19"/>
      <c r="B862" s="19"/>
      <c r="C862" s="19"/>
      <c r="D862" s="5"/>
    </row>
    <row r="863">
      <c r="A863" s="19"/>
      <c r="B863" s="19"/>
      <c r="C863" s="19"/>
      <c r="D863" s="5"/>
    </row>
    <row r="864">
      <c r="A864" s="19"/>
      <c r="B864" s="19"/>
      <c r="C864" s="19"/>
      <c r="D864" s="5"/>
    </row>
    <row r="865">
      <c r="A865" s="19"/>
      <c r="B865" s="19"/>
      <c r="C865" s="19"/>
      <c r="D865" s="5"/>
    </row>
    <row r="866">
      <c r="A866" s="19"/>
      <c r="B866" s="19"/>
      <c r="C866" s="19"/>
      <c r="D866" s="5"/>
    </row>
    <row r="867">
      <c r="A867" s="19"/>
      <c r="B867" s="19"/>
      <c r="C867" s="19"/>
      <c r="D867" s="5"/>
    </row>
    <row r="868">
      <c r="A868" s="19"/>
      <c r="B868" s="19"/>
      <c r="C868" s="19"/>
      <c r="D868" s="5"/>
    </row>
    <row r="869">
      <c r="A869" s="19"/>
      <c r="B869" s="19"/>
      <c r="C869" s="19"/>
      <c r="D869" s="5"/>
    </row>
    <row r="870">
      <c r="A870" s="19"/>
      <c r="B870" s="19"/>
      <c r="C870" s="19"/>
      <c r="D870" s="5"/>
    </row>
    <row r="871">
      <c r="A871" s="19"/>
      <c r="B871" s="19"/>
      <c r="C871" s="19"/>
      <c r="D871" s="5"/>
    </row>
    <row r="872">
      <c r="A872" s="19"/>
      <c r="B872" s="19"/>
      <c r="C872" s="19"/>
      <c r="D872" s="5"/>
    </row>
    <row r="873">
      <c r="A873" s="19"/>
      <c r="B873" s="19"/>
      <c r="C873" s="19"/>
      <c r="D873" s="5"/>
    </row>
    <row r="874">
      <c r="A874" s="19"/>
      <c r="B874" s="19"/>
      <c r="C874" s="19"/>
      <c r="D874" s="5"/>
    </row>
    <row r="875">
      <c r="A875" s="19"/>
      <c r="B875" s="19"/>
      <c r="C875" s="19"/>
      <c r="D875" s="5"/>
    </row>
    <row r="876">
      <c r="A876" s="19"/>
      <c r="B876" s="19"/>
      <c r="C876" s="19"/>
      <c r="D876" s="5"/>
    </row>
    <row r="877">
      <c r="A877" s="19"/>
      <c r="B877" s="19"/>
      <c r="C877" s="19"/>
      <c r="D877" s="5"/>
    </row>
    <row r="878">
      <c r="A878" s="19"/>
      <c r="B878" s="19"/>
      <c r="C878" s="19"/>
      <c r="D878" s="5"/>
    </row>
    <row r="879">
      <c r="A879" s="19"/>
      <c r="B879" s="19"/>
      <c r="C879" s="19"/>
      <c r="D879" s="5"/>
    </row>
    <row r="880">
      <c r="A880" s="19"/>
      <c r="B880" s="19"/>
      <c r="C880" s="19"/>
      <c r="D880" s="5"/>
    </row>
    <row r="881">
      <c r="A881" s="19"/>
      <c r="B881" s="19"/>
      <c r="C881" s="19"/>
      <c r="D881" s="5"/>
    </row>
    <row r="882">
      <c r="A882" s="19"/>
      <c r="B882" s="19"/>
      <c r="C882" s="19"/>
      <c r="D882" s="5"/>
    </row>
    <row r="883">
      <c r="A883" s="19"/>
      <c r="B883" s="19"/>
      <c r="C883" s="19"/>
      <c r="D883" s="5"/>
    </row>
    <row r="884">
      <c r="A884" s="19"/>
      <c r="B884" s="19"/>
      <c r="C884" s="19"/>
      <c r="D884" s="5"/>
    </row>
    <row r="885">
      <c r="A885" s="19"/>
      <c r="B885" s="19"/>
      <c r="C885" s="19"/>
      <c r="D885" s="5"/>
    </row>
    <row r="886">
      <c r="A886" s="19"/>
      <c r="B886" s="19"/>
      <c r="C886" s="19"/>
      <c r="D886" s="5"/>
    </row>
    <row r="887">
      <c r="A887" s="19"/>
      <c r="B887" s="19"/>
      <c r="C887" s="19"/>
      <c r="D887" s="5"/>
    </row>
    <row r="888">
      <c r="A888" s="19"/>
      <c r="B888" s="19"/>
      <c r="C888" s="19"/>
      <c r="D888" s="5"/>
    </row>
    <row r="889">
      <c r="A889" s="19"/>
      <c r="B889" s="19"/>
      <c r="C889" s="19"/>
      <c r="D889" s="5"/>
    </row>
    <row r="890">
      <c r="A890" s="19"/>
      <c r="B890" s="19"/>
      <c r="C890" s="19"/>
      <c r="D890" s="5"/>
    </row>
    <row r="891">
      <c r="A891" s="19"/>
      <c r="B891" s="19"/>
      <c r="C891" s="19"/>
      <c r="D891" s="5"/>
    </row>
    <row r="892">
      <c r="A892" s="19"/>
      <c r="B892" s="19"/>
      <c r="C892" s="19"/>
      <c r="D892" s="5"/>
    </row>
    <row r="893">
      <c r="A893" s="19"/>
      <c r="B893" s="19"/>
      <c r="C893" s="19"/>
      <c r="D893" s="5"/>
    </row>
    <row r="894">
      <c r="A894" s="19"/>
      <c r="B894" s="19"/>
      <c r="C894" s="19"/>
      <c r="D894" s="5"/>
    </row>
    <row r="895">
      <c r="A895" s="19"/>
      <c r="B895" s="19"/>
      <c r="C895" s="19"/>
      <c r="D895" s="5"/>
    </row>
    <row r="896">
      <c r="A896" s="19"/>
      <c r="B896" s="19"/>
      <c r="C896" s="19"/>
      <c r="D896" s="5"/>
    </row>
    <row r="897">
      <c r="A897" s="19"/>
      <c r="B897" s="19"/>
      <c r="C897" s="19"/>
      <c r="D897" s="5"/>
    </row>
    <row r="898">
      <c r="A898" s="19"/>
      <c r="B898" s="19"/>
      <c r="C898" s="19"/>
      <c r="D898" s="5"/>
    </row>
    <row r="899">
      <c r="A899" s="19"/>
      <c r="B899" s="19"/>
      <c r="C899" s="19"/>
      <c r="D899" s="5"/>
    </row>
    <row r="900">
      <c r="A900" s="19"/>
      <c r="B900" s="19"/>
      <c r="C900" s="19"/>
      <c r="D900" s="5"/>
    </row>
    <row r="901">
      <c r="A901" s="19"/>
      <c r="B901" s="19"/>
      <c r="C901" s="19"/>
      <c r="D901" s="5"/>
    </row>
    <row r="902">
      <c r="A902" s="19"/>
      <c r="B902" s="19"/>
      <c r="C902" s="19"/>
      <c r="D902" s="5"/>
    </row>
    <row r="903">
      <c r="A903" s="19"/>
      <c r="B903" s="19"/>
      <c r="C903" s="19"/>
      <c r="D903" s="5"/>
    </row>
    <row r="904">
      <c r="A904" s="19"/>
      <c r="B904" s="19"/>
      <c r="C904" s="19"/>
      <c r="D904" s="5"/>
    </row>
    <row r="905">
      <c r="A905" s="19"/>
      <c r="B905" s="19"/>
      <c r="C905" s="19"/>
      <c r="D905" s="5"/>
    </row>
    <row r="906">
      <c r="A906" s="19"/>
      <c r="B906" s="19"/>
      <c r="C906" s="19"/>
      <c r="D906" s="5"/>
    </row>
    <row r="907">
      <c r="A907" s="19"/>
      <c r="B907" s="19"/>
      <c r="C907" s="19"/>
      <c r="D907" s="5"/>
    </row>
    <row r="908">
      <c r="A908" s="19"/>
      <c r="B908" s="19"/>
      <c r="C908" s="19"/>
      <c r="D908" s="5"/>
    </row>
    <row r="909">
      <c r="A909" s="19"/>
      <c r="B909" s="19"/>
      <c r="C909" s="19"/>
      <c r="D909" s="5"/>
    </row>
    <row r="910">
      <c r="A910" s="19"/>
      <c r="B910" s="19"/>
      <c r="C910" s="19"/>
      <c r="D910" s="5"/>
    </row>
    <row r="911">
      <c r="A911" s="19"/>
      <c r="B911" s="19"/>
      <c r="C911" s="19"/>
      <c r="D911" s="5"/>
    </row>
    <row r="912">
      <c r="A912" s="19"/>
      <c r="B912" s="19"/>
      <c r="C912" s="19"/>
      <c r="D912" s="5"/>
    </row>
    <row r="913">
      <c r="A913" s="19"/>
      <c r="B913" s="19"/>
      <c r="C913" s="19"/>
      <c r="D913" s="5"/>
    </row>
    <row r="914">
      <c r="A914" s="19"/>
      <c r="B914" s="19"/>
      <c r="C914" s="19"/>
      <c r="D914" s="5"/>
    </row>
    <row r="915">
      <c r="A915" s="19"/>
      <c r="B915" s="19"/>
      <c r="C915" s="19"/>
      <c r="D915" s="5"/>
    </row>
    <row r="916">
      <c r="A916" s="19"/>
      <c r="B916" s="19"/>
      <c r="C916" s="19"/>
      <c r="D916" s="5"/>
    </row>
    <row r="917">
      <c r="A917" s="19"/>
      <c r="B917" s="19"/>
      <c r="C917" s="19"/>
      <c r="D917" s="5"/>
    </row>
    <row r="918">
      <c r="A918" s="19"/>
      <c r="B918" s="19"/>
      <c r="C918" s="19"/>
      <c r="D918" s="5"/>
    </row>
    <row r="919">
      <c r="A919" s="19"/>
      <c r="B919" s="19"/>
      <c r="C919" s="19"/>
      <c r="D919" s="5"/>
    </row>
    <row r="920">
      <c r="A920" s="19"/>
      <c r="B920" s="19"/>
      <c r="C920" s="19"/>
      <c r="D920" s="5"/>
    </row>
    <row r="921">
      <c r="A921" s="19"/>
      <c r="B921" s="19"/>
      <c r="C921" s="19"/>
      <c r="D921" s="5"/>
    </row>
    <row r="922">
      <c r="A922" s="19"/>
      <c r="B922" s="19"/>
      <c r="C922" s="19"/>
      <c r="D922" s="5"/>
    </row>
    <row r="923">
      <c r="A923" s="19"/>
      <c r="B923" s="19"/>
      <c r="C923" s="19"/>
      <c r="D923" s="5"/>
    </row>
    <row r="924">
      <c r="A924" s="19"/>
      <c r="B924" s="19"/>
      <c r="C924" s="19"/>
      <c r="D924" s="5"/>
    </row>
    <row r="925">
      <c r="A925" s="19"/>
      <c r="B925" s="19"/>
      <c r="C925" s="19"/>
      <c r="D925" s="5"/>
    </row>
    <row r="926">
      <c r="A926" s="19"/>
      <c r="B926" s="19"/>
      <c r="C926" s="19"/>
      <c r="D926" s="5"/>
    </row>
    <row r="927">
      <c r="A927" s="19"/>
      <c r="B927" s="19"/>
      <c r="C927" s="19"/>
      <c r="D927" s="5"/>
    </row>
    <row r="928">
      <c r="A928" s="19"/>
      <c r="B928" s="19"/>
      <c r="C928" s="19"/>
      <c r="D928" s="5"/>
    </row>
    <row r="929">
      <c r="A929" s="19"/>
      <c r="B929" s="19"/>
      <c r="C929" s="19"/>
      <c r="D929" s="5"/>
    </row>
    <row r="930">
      <c r="A930" s="19"/>
      <c r="B930" s="19"/>
      <c r="C930" s="19"/>
      <c r="D930" s="5"/>
    </row>
    <row r="931">
      <c r="A931" s="19"/>
      <c r="B931" s="19"/>
      <c r="C931" s="19"/>
      <c r="D931" s="5"/>
    </row>
    <row r="932">
      <c r="A932" s="19"/>
      <c r="B932" s="19"/>
      <c r="C932" s="19"/>
      <c r="D932" s="5"/>
    </row>
    <row r="933">
      <c r="A933" s="19"/>
      <c r="B933" s="19"/>
      <c r="C933" s="19"/>
      <c r="D933" s="5"/>
    </row>
    <row r="934">
      <c r="A934" s="19"/>
      <c r="B934" s="19"/>
      <c r="C934" s="19"/>
      <c r="D934" s="5"/>
    </row>
    <row r="935">
      <c r="A935" s="19"/>
      <c r="B935" s="19"/>
      <c r="C935" s="19"/>
      <c r="D935" s="5"/>
    </row>
    <row r="936">
      <c r="A936" s="19"/>
      <c r="B936" s="19"/>
      <c r="C936" s="19"/>
      <c r="D936" s="5"/>
    </row>
    <row r="937">
      <c r="A937" s="19"/>
      <c r="B937" s="19"/>
      <c r="C937" s="19"/>
      <c r="D937" s="5"/>
    </row>
    <row r="938">
      <c r="A938" s="19"/>
      <c r="B938" s="19"/>
      <c r="C938" s="19"/>
      <c r="D938" s="5"/>
    </row>
    <row r="939">
      <c r="A939" s="19"/>
      <c r="B939" s="19"/>
      <c r="C939" s="19"/>
      <c r="D939" s="5"/>
    </row>
    <row r="940">
      <c r="A940" s="19"/>
      <c r="B940" s="19"/>
      <c r="C940" s="19"/>
      <c r="D940" s="5"/>
    </row>
    <row r="941">
      <c r="A941" s="19"/>
      <c r="B941" s="19"/>
      <c r="C941" s="19"/>
      <c r="D941" s="5"/>
    </row>
    <row r="942">
      <c r="A942" s="19"/>
      <c r="B942" s="19"/>
      <c r="C942" s="19"/>
      <c r="D942" s="5"/>
    </row>
    <row r="943">
      <c r="A943" s="19"/>
      <c r="B943" s="19"/>
      <c r="C943" s="19"/>
      <c r="D943" s="5"/>
    </row>
    <row r="944">
      <c r="A944" s="19"/>
      <c r="B944" s="19"/>
      <c r="C944" s="19"/>
      <c r="D944" s="5"/>
    </row>
    <row r="945">
      <c r="A945" s="19"/>
      <c r="B945" s="19"/>
      <c r="C945" s="19"/>
      <c r="D945" s="5"/>
    </row>
    <row r="946">
      <c r="A946" s="19"/>
      <c r="B946" s="19"/>
      <c r="C946" s="19"/>
      <c r="D946" s="5"/>
    </row>
    <row r="947">
      <c r="A947" s="19"/>
      <c r="B947" s="19"/>
      <c r="C947" s="19"/>
      <c r="D947" s="5"/>
    </row>
    <row r="948">
      <c r="A948" s="19"/>
      <c r="B948" s="19"/>
      <c r="C948" s="19"/>
      <c r="D948" s="5"/>
    </row>
    <row r="949">
      <c r="A949" s="19"/>
      <c r="B949" s="19"/>
      <c r="C949" s="19"/>
      <c r="D949" s="5"/>
    </row>
    <row r="950">
      <c r="A950" s="19"/>
      <c r="B950" s="19"/>
      <c r="C950" s="19"/>
      <c r="D950" s="5"/>
    </row>
    <row r="951">
      <c r="A951" s="19"/>
      <c r="B951" s="19"/>
      <c r="C951" s="19"/>
      <c r="D951" s="5"/>
    </row>
    <row r="952">
      <c r="A952" s="19"/>
      <c r="B952" s="19"/>
      <c r="C952" s="19"/>
      <c r="D952" s="5"/>
    </row>
    <row r="953">
      <c r="A953" s="19"/>
      <c r="B953" s="19"/>
      <c r="C953" s="19"/>
      <c r="D953" s="5"/>
    </row>
    <row r="954">
      <c r="A954" s="19"/>
      <c r="B954" s="19"/>
      <c r="C954" s="19"/>
      <c r="D954" s="5"/>
    </row>
    <row r="955">
      <c r="A955" s="19"/>
      <c r="B955" s="19"/>
      <c r="C955" s="19"/>
      <c r="D955" s="5"/>
    </row>
    <row r="956">
      <c r="A956" s="19"/>
      <c r="B956" s="19"/>
      <c r="C956" s="19"/>
      <c r="D956" s="5"/>
    </row>
    <row r="957">
      <c r="A957" s="19"/>
      <c r="B957" s="19"/>
      <c r="C957" s="19"/>
      <c r="D957" s="5"/>
    </row>
    <row r="958">
      <c r="A958" s="19"/>
      <c r="B958" s="19"/>
      <c r="C958" s="19"/>
      <c r="D958" s="5"/>
    </row>
    <row r="959">
      <c r="A959" s="19"/>
      <c r="B959" s="19"/>
      <c r="C959" s="19"/>
      <c r="D959" s="5"/>
    </row>
    <row r="960">
      <c r="A960" s="19"/>
      <c r="B960" s="19"/>
      <c r="C960" s="19"/>
      <c r="D960" s="5"/>
    </row>
    <row r="961">
      <c r="A961" s="19"/>
      <c r="B961" s="19"/>
      <c r="C961" s="19"/>
      <c r="D961" s="5"/>
    </row>
    <row r="962">
      <c r="A962" s="19"/>
      <c r="B962" s="19"/>
      <c r="C962" s="19"/>
      <c r="D962" s="5"/>
    </row>
    <row r="963">
      <c r="A963" s="19"/>
      <c r="B963" s="19"/>
      <c r="C963" s="19"/>
      <c r="D963" s="5"/>
    </row>
    <row r="964">
      <c r="A964" s="19"/>
      <c r="B964" s="19"/>
      <c r="C964" s="19"/>
      <c r="D964" s="5"/>
    </row>
    <row r="965">
      <c r="A965" s="19"/>
      <c r="B965" s="19"/>
      <c r="C965" s="19"/>
      <c r="D965" s="5"/>
    </row>
    <row r="966">
      <c r="A966" s="19"/>
      <c r="B966" s="19"/>
      <c r="C966" s="19"/>
      <c r="D966" s="5"/>
    </row>
    <row r="967">
      <c r="A967" s="19"/>
      <c r="B967" s="19"/>
      <c r="C967" s="19"/>
      <c r="D967" s="5"/>
    </row>
    <row r="968">
      <c r="A968" s="19"/>
      <c r="B968" s="19"/>
      <c r="C968" s="19"/>
      <c r="D968" s="5"/>
    </row>
    <row r="969">
      <c r="A969" s="19"/>
      <c r="B969" s="19"/>
      <c r="C969" s="19"/>
      <c r="D969" s="5"/>
    </row>
    <row r="970">
      <c r="A970" s="19"/>
      <c r="B970" s="19"/>
      <c r="C970" s="19"/>
      <c r="D970" s="5"/>
    </row>
    <row r="971">
      <c r="A971" s="19"/>
      <c r="B971" s="19"/>
      <c r="C971" s="19"/>
      <c r="D971" s="5"/>
    </row>
    <row r="972">
      <c r="A972" s="19"/>
      <c r="B972" s="19"/>
      <c r="C972" s="19"/>
      <c r="D972" s="5"/>
    </row>
    <row r="973">
      <c r="A973" s="19"/>
      <c r="B973" s="19"/>
      <c r="C973" s="19"/>
      <c r="D973" s="5"/>
    </row>
    <row r="974">
      <c r="A974" s="19"/>
      <c r="B974" s="19"/>
      <c r="C974" s="19"/>
      <c r="D974" s="5"/>
    </row>
    <row r="975">
      <c r="A975" s="19"/>
      <c r="B975" s="19"/>
      <c r="C975" s="19"/>
      <c r="D975" s="5"/>
    </row>
    <row r="976">
      <c r="A976" s="19"/>
      <c r="B976" s="19"/>
      <c r="C976" s="19"/>
      <c r="D976" s="5"/>
    </row>
    <row r="977">
      <c r="A977" s="19"/>
      <c r="B977" s="19"/>
      <c r="C977" s="19"/>
      <c r="D977" s="5"/>
    </row>
    <row r="978">
      <c r="A978" s="19"/>
      <c r="B978" s="19"/>
      <c r="C978" s="19"/>
      <c r="D978" s="5"/>
    </row>
    <row r="979">
      <c r="A979" s="19"/>
      <c r="B979" s="19"/>
      <c r="C979" s="19"/>
      <c r="D979" s="5"/>
    </row>
    <row r="980">
      <c r="A980" s="19"/>
      <c r="B980" s="19"/>
      <c r="C980" s="19"/>
      <c r="D980" s="5"/>
    </row>
    <row r="981">
      <c r="A981" s="19"/>
      <c r="B981" s="19"/>
      <c r="C981" s="19"/>
      <c r="D981" s="5"/>
    </row>
    <row r="982">
      <c r="A982" s="19"/>
      <c r="B982" s="19"/>
      <c r="C982" s="19"/>
      <c r="D982" s="5"/>
    </row>
    <row r="983">
      <c r="A983" s="19"/>
      <c r="B983" s="19"/>
      <c r="C983" s="19"/>
      <c r="D983" s="5"/>
    </row>
    <row r="984">
      <c r="A984" s="19"/>
      <c r="B984" s="19"/>
      <c r="C984" s="19"/>
      <c r="D984" s="5"/>
    </row>
    <row r="985">
      <c r="A985" s="19"/>
      <c r="B985" s="19"/>
      <c r="C985" s="19"/>
      <c r="D985" s="5"/>
    </row>
    <row r="986">
      <c r="A986" s="19"/>
      <c r="B986" s="19"/>
      <c r="C986" s="19"/>
      <c r="D986" s="5"/>
    </row>
    <row r="987">
      <c r="A987" s="19"/>
      <c r="B987" s="19"/>
      <c r="C987" s="19"/>
      <c r="D987" s="5"/>
    </row>
    <row r="988">
      <c r="A988" s="19"/>
      <c r="B988" s="19"/>
      <c r="C988" s="19"/>
      <c r="D988" s="5"/>
    </row>
    <row r="989">
      <c r="A989" s="19"/>
      <c r="B989" s="19"/>
      <c r="C989" s="19"/>
      <c r="D989" s="5"/>
    </row>
    <row r="990">
      <c r="A990" s="19"/>
      <c r="B990" s="19"/>
      <c r="C990" s="19"/>
      <c r="D990" s="5"/>
    </row>
    <row r="991">
      <c r="A991" s="19"/>
      <c r="B991" s="19"/>
      <c r="C991" s="19"/>
      <c r="D991" s="5"/>
    </row>
    <row r="992">
      <c r="A992" s="19"/>
      <c r="B992" s="19"/>
      <c r="C992" s="19"/>
      <c r="D992" s="5"/>
    </row>
    <row r="993">
      <c r="A993" s="19"/>
      <c r="B993" s="19"/>
      <c r="C993" s="19"/>
      <c r="D993" s="5"/>
    </row>
    <row r="994">
      <c r="A994" s="19"/>
      <c r="B994" s="19"/>
      <c r="C994" s="19"/>
      <c r="D994" s="5"/>
    </row>
    <row r="995">
      <c r="A995" s="19"/>
      <c r="B995" s="19"/>
      <c r="C995" s="19"/>
      <c r="D995" s="5"/>
    </row>
    <row r="996">
      <c r="A996" s="19"/>
      <c r="B996" s="19"/>
      <c r="C996" s="19"/>
      <c r="D996" s="5"/>
    </row>
    <row r="997">
      <c r="A997" s="19"/>
      <c r="B997" s="19"/>
      <c r="C997" s="19"/>
      <c r="D997" s="5"/>
    </row>
    <row r="998">
      <c r="A998" s="19"/>
      <c r="B998" s="19"/>
      <c r="C998" s="19"/>
      <c r="D998" s="5"/>
    </row>
    <row r="999">
      <c r="A999" s="19"/>
      <c r="B999" s="19"/>
      <c r="C999" s="19"/>
      <c r="D999" s="5"/>
    </row>
    <row r="1000">
      <c r="A1000" s="19"/>
      <c r="B1000" s="19"/>
      <c r="C1000" s="19"/>
      <c r="D1000" s="5"/>
    </row>
    <row r="1001">
      <c r="A1001" s="19"/>
      <c r="B1001" s="19"/>
      <c r="C1001" s="19"/>
      <c r="D1001" s="5"/>
    </row>
    <row r="1002">
      <c r="A1002" s="19"/>
      <c r="B1002" s="19"/>
      <c r="C1002" s="19"/>
      <c r="D1002" s="5"/>
    </row>
    <row r="1003">
      <c r="A1003" s="19"/>
      <c r="B1003" s="19"/>
      <c r="C1003" s="19"/>
      <c r="D1003" s="5"/>
    </row>
    <row r="1004">
      <c r="A1004" s="19"/>
      <c r="B1004" s="19"/>
      <c r="C1004" s="19"/>
      <c r="D1004" s="5"/>
    </row>
    <row r="1005">
      <c r="A1005" s="19"/>
      <c r="B1005" s="19"/>
      <c r="C1005" s="19"/>
      <c r="D1005" s="5"/>
    </row>
    <row r="1006">
      <c r="A1006" s="19"/>
      <c r="B1006" s="19"/>
      <c r="C1006" s="19"/>
      <c r="D1006" s="5"/>
    </row>
    <row r="1007">
      <c r="A1007" s="19"/>
      <c r="B1007" s="19"/>
      <c r="C1007" s="19"/>
      <c r="D1007" s="5"/>
    </row>
    <row r="1008">
      <c r="A1008" s="19"/>
      <c r="B1008" s="19"/>
      <c r="C1008" s="19"/>
      <c r="D1008" s="5"/>
    </row>
    <row r="1009">
      <c r="A1009" s="19"/>
      <c r="B1009" s="19"/>
      <c r="C1009" s="19"/>
      <c r="D1009" s="5"/>
    </row>
    <row r="1010">
      <c r="A1010" s="19"/>
      <c r="B1010" s="19"/>
      <c r="C1010" s="19"/>
      <c r="D1010" s="5"/>
    </row>
    <row r="1011">
      <c r="A1011" s="19"/>
      <c r="B1011" s="19"/>
      <c r="C1011" s="19"/>
      <c r="D1011" s="5"/>
    </row>
    <row r="1012">
      <c r="A1012" s="19"/>
      <c r="B1012" s="19"/>
      <c r="C1012" s="19"/>
      <c r="D1012" s="5"/>
    </row>
    <row r="1013">
      <c r="A1013" s="19"/>
      <c r="B1013" s="19"/>
      <c r="C1013" s="19"/>
      <c r="D1013" s="5"/>
    </row>
    <row r="1014">
      <c r="A1014" s="19"/>
      <c r="B1014" s="19"/>
      <c r="C1014" s="19"/>
      <c r="D1014" s="5"/>
    </row>
  </sheetData>
  <mergeCells count="42">
    <mergeCell ref="B128:B129"/>
    <mergeCell ref="C128:C129"/>
    <mergeCell ref="A87:A89"/>
    <mergeCell ref="B87:B89"/>
    <mergeCell ref="C87:C89"/>
    <mergeCell ref="A124:A125"/>
    <mergeCell ref="B124:B125"/>
    <mergeCell ref="C124:C125"/>
    <mergeCell ref="A128:A129"/>
    <mergeCell ref="B21:B24"/>
    <mergeCell ref="C21:C24"/>
    <mergeCell ref="A15:A16"/>
    <mergeCell ref="B15:B16"/>
    <mergeCell ref="C15:C16"/>
    <mergeCell ref="A18:A19"/>
    <mergeCell ref="B18:B19"/>
    <mergeCell ref="C18:C19"/>
    <mergeCell ref="A21:A24"/>
    <mergeCell ref="B54:B55"/>
    <mergeCell ref="C54:C55"/>
    <mergeCell ref="A26:A27"/>
    <mergeCell ref="B26:B27"/>
    <mergeCell ref="C26:C27"/>
    <mergeCell ref="A38:A41"/>
    <mergeCell ref="B38:B41"/>
    <mergeCell ref="C38:C41"/>
    <mergeCell ref="A54:A55"/>
    <mergeCell ref="B81:B82"/>
    <mergeCell ref="C81:C82"/>
    <mergeCell ref="A67:A68"/>
    <mergeCell ref="B67:B68"/>
    <mergeCell ref="C67:C68"/>
    <mergeCell ref="A79:A80"/>
    <mergeCell ref="B79:B80"/>
    <mergeCell ref="C79:C80"/>
    <mergeCell ref="A81:A82"/>
    <mergeCell ref="A136:A137"/>
    <mergeCell ref="B136:B137"/>
    <mergeCell ref="C136:C137"/>
    <mergeCell ref="A138:A139"/>
    <mergeCell ref="B138:B139"/>
    <mergeCell ref="C138:C13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7.38"/>
  </cols>
  <sheetData>
    <row r="1">
      <c r="A1" s="16" t="s">
        <v>1175</v>
      </c>
      <c r="B1" s="17"/>
      <c r="C1" s="17"/>
      <c r="D1" s="12" t="s">
        <v>4</v>
      </c>
      <c r="E1" s="19"/>
      <c r="F1" s="19"/>
      <c r="G1" s="19"/>
      <c r="H1" s="19"/>
      <c r="I1" s="19"/>
      <c r="J1" s="19"/>
      <c r="K1" s="19"/>
      <c r="L1" s="19"/>
      <c r="M1" s="19"/>
      <c r="N1" s="19"/>
      <c r="O1" s="19"/>
      <c r="P1" s="19"/>
      <c r="Q1" s="19"/>
      <c r="R1" s="19"/>
      <c r="S1" s="19"/>
      <c r="T1" s="19"/>
      <c r="U1" s="19"/>
      <c r="V1" s="19"/>
      <c r="W1" s="19"/>
      <c r="X1" s="19"/>
      <c r="Y1" s="19"/>
      <c r="Z1" s="19"/>
      <c r="AA1" s="19"/>
      <c r="AB1" s="19"/>
      <c r="AC1" s="19"/>
    </row>
    <row r="2">
      <c r="A2" s="19"/>
      <c r="B2" s="19"/>
      <c r="C2" s="19"/>
      <c r="D2" s="25" t="s">
        <v>1176</v>
      </c>
      <c r="E2" s="23"/>
      <c r="F2" s="23"/>
      <c r="G2" s="23"/>
      <c r="H2" s="23"/>
      <c r="I2" s="23"/>
      <c r="J2" s="23"/>
      <c r="K2" s="23"/>
      <c r="L2" s="23"/>
      <c r="M2" s="23"/>
      <c r="N2" s="23"/>
      <c r="O2" s="23"/>
      <c r="P2" s="23"/>
      <c r="Q2" s="23"/>
      <c r="R2" s="23"/>
      <c r="S2" s="23"/>
      <c r="T2" s="23"/>
      <c r="U2" s="23"/>
      <c r="V2" s="23"/>
      <c r="W2" s="23"/>
      <c r="X2" s="23"/>
      <c r="Y2" s="19"/>
      <c r="Z2" s="19"/>
      <c r="AA2" s="19"/>
      <c r="AB2" s="19"/>
      <c r="AC2" s="19"/>
    </row>
    <row r="3">
      <c r="A3" s="25" t="s">
        <v>1177</v>
      </c>
      <c r="B3" s="25" t="s">
        <v>1178</v>
      </c>
      <c r="C3" s="25" t="s">
        <v>513</v>
      </c>
      <c r="D3" s="11" t="s">
        <v>515</v>
      </c>
      <c r="E3" s="11" t="s">
        <v>516</v>
      </c>
      <c r="F3" s="11" t="s">
        <v>517</v>
      </c>
      <c r="G3" s="11" t="s">
        <v>518</v>
      </c>
      <c r="H3" s="11" t="s">
        <v>519</v>
      </c>
      <c r="I3" s="11" t="s">
        <v>520</v>
      </c>
      <c r="J3" s="11" t="s">
        <v>521</v>
      </c>
      <c r="K3" s="11" t="s">
        <v>522</v>
      </c>
      <c r="L3" s="11" t="s">
        <v>523</v>
      </c>
      <c r="M3" s="11" t="s">
        <v>524</v>
      </c>
      <c r="N3" s="11" t="s">
        <v>525</v>
      </c>
      <c r="O3" s="11" t="s">
        <v>526</v>
      </c>
      <c r="P3" s="11" t="s">
        <v>527</v>
      </c>
      <c r="Q3" s="11" t="s">
        <v>528</v>
      </c>
      <c r="R3" s="11" t="s">
        <v>529</v>
      </c>
      <c r="S3" s="11" t="s">
        <v>530</v>
      </c>
      <c r="T3" s="11" t="s">
        <v>531</v>
      </c>
      <c r="U3" s="11" t="s">
        <v>532</v>
      </c>
      <c r="V3" s="11" t="s">
        <v>533</v>
      </c>
      <c r="W3" s="11" t="s">
        <v>534</v>
      </c>
      <c r="X3" s="11" t="s">
        <v>535</v>
      </c>
      <c r="Y3" s="23"/>
      <c r="Z3" s="23"/>
      <c r="AA3" s="23"/>
      <c r="AB3" s="23"/>
      <c r="AC3" s="23"/>
    </row>
    <row r="4">
      <c r="A4" s="34" t="s">
        <v>1179</v>
      </c>
      <c r="B4" s="34" t="s">
        <v>1180</v>
      </c>
      <c r="C4" s="34" t="s">
        <v>1181</v>
      </c>
      <c r="Y4" s="11"/>
      <c r="Z4" s="11"/>
      <c r="AA4" s="11"/>
      <c r="AB4" s="11"/>
      <c r="AC4" s="11"/>
    </row>
    <row r="5">
      <c r="A5" s="34" t="s">
        <v>1179</v>
      </c>
      <c r="B5" s="34" t="s">
        <v>1182</v>
      </c>
      <c r="C5" s="34" t="s">
        <v>1183</v>
      </c>
      <c r="D5" s="19"/>
      <c r="E5" s="19"/>
      <c r="F5" s="19"/>
      <c r="G5" s="19"/>
      <c r="H5" s="19"/>
      <c r="I5" s="19"/>
      <c r="J5" s="19"/>
      <c r="K5" s="19"/>
      <c r="L5" s="19"/>
      <c r="M5" s="19"/>
      <c r="N5" s="19"/>
      <c r="O5" s="19"/>
      <c r="P5" s="19"/>
      <c r="Q5" s="19"/>
      <c r="R5" s="19"/>
      <c r="S5" s="19"/>
      <c r="T5" s="19"/>
      <c r="U5" s="19"/>
      <c r="V5" s="19"/>
      <c r="W5" s="19"/>
      <c r="X5" s="19"/>
      <c r="Y5" s="19"/>
      <c r="Z5" s="19"/>
      <c r="AA5" s="19"/>
      <c r="AB5" s="19"/>
      <c r="AC5" s="19"/>
    </row>
    <row r="6">
      <c r="A6" s="34" t="s">
        <v>1179</v>
      </c>
      <c r="B6" s="34" t="s">
        <v>1184</v>
      </c>
      <c r="C6" s="34" t="s">
        <v>1185</v>
      </c>
      <c r="D6" s="19"/>
      <c r="E6" s="19"/>
      <c r="F6" s="19"/>
      <c r="G6" s="19"/>
      <c r="H6" s="19"/>
      <c r="I6" s="19"/>
      <c r="J6" s="19"/>
      <c r="K6" s="19"/>
      <c r="L6" s="19"/>
      <c r="M6" s="19"/>
      <c r="N6" s="19"/>
      <c r="O6" s="19"/>
      <c r="P6" s="19"/>
      <c r="Q6" s="19"/>
      <c r="R6" s="19"/>
      <c r="S6" s="19"/>
      <c r="T6" s="19"/>
      <c r="U6" s="19"/>
      <c r="V6" s="19"/>
      <c r="W6" s="19"/>
      <c r="X6" s="19"/>
      <c r="Y6" s="19"/>
      <c r="Z6" s="19"/>
      <c r="AA6" s="19"/>
      <c r="AB6" s="19"/>
      <c r="AC6" s="19"/>
    </row>
    <row r="7">
      <c r="A7" s="34" t="s">
        <v>1179</v>
      </c>
      <c r="B7" s="34" t="s">
        <v>1186</v>
      </c>
      <c r="C7" s="34" t="s">
        <v>1187</v>
      </c>
    </row>
    <row r="8">
      <c r="A8" s="34" t="s">
        <v>1179</v>
      </c>
      <c r="B8" s="34" t="s">
        <v>1188</v>
      </c>
      <c r="C8" s="34" t="s">
        <v>1189</v>
      </c>
      <c r="D8" s="35" t="s">
        <v>1190</v>
      </c>
      <c r="E8" s="35" t="s">
        <v>1191</v>
      </c>
      <c r="F8" s="35" t="s">
        <v>1192</v>
      </c>
      <c r="G8" s="35" t="s">
        <v>1193</v>
      </c>
      <c r="H8" s="35" t="s">
        <v>1194</v>
      </c>
      <c r="I8" s="35" t="s">
        <v>15</v>
      </c>
      <c r="J8" s="35" t="s">
        <v>1195</v>
      </c>
      <c r="K8" s="35" t="s">
        <v>1196</v>
      </c>
      <c r="L8" s="35" t="s">
        <v>1197</v>
      </c>
      <c r="M8" s="35" t="s">
        <v>1198</v>
      </c>
      <c r="N8" s="35" t="s">
        <v>1199</v>
      </c>
      <c r="O8" s="35" t="s">
        <v>1200</v>
      </c>
      <c r="P8" s="35" t="s">
        <v>1201</v>
      </c>
      <c r="Q8" s="35" t="s">
        <v>20</v>
      </c>
      <c r="R8" s="35" t="s">
        <v>1202</v>
      </c>
      <c r="S8" s="35" t="s">
        <v>1203</v>
      </c>
      <c r="T8" s="35" t="s">
        <v>1204</v>
      </c>
      <c r="U8" s="35" t="s">
        <v>20</v>
      </c>
      <c r="V8" s="35" t="s">
        <v>20</v>
      </c>
      <c r="W8" s="35" t="s">
        <v>20</v>
      </c>
      <c r="X8" s="35" t="s">
        <v>1205</v>
      </c>
      <c r="Y8" s="35"/>
      <c r="Z8" s="35"/>
      <c r="AA8" s="35"/>
      <c r="AB8" s="35"/>
      <c r="AC8" s="35"/>
    </row>
    <row r="9">
      <c r="D9" s="35" t="s">
        <v>1206</v>
      </c>
      <c r="E9" s="35" t="s">
        <v>1207</v>
      </c>
      <c r="F9" s="35" t="s">
        <v>1208</v>
      </c>
      <c r="G9" s="35" t="s">
        <v>1209</v>
      </c>
      <c r="H9" s="35" t="s">
        <v>1210</v>
      </c>
      <c r="I9" s="35" t="s">
        <v>15</v>
      </c>
      <c r="J9" s="35" t="s">
        <v>1195</v>
      </c>
      <c r="K9" s="35" t="s">
        <v>1211</v>
      </c>
      <c r="L9" s="35" t="s">
        <v>1212</v>
      </c>
      <c r="M9" s="35" t="s">
        <v>1213</v>
      </c>
      <c r="N9" s="35" t="s">
        <v>1199</v>
      </c>
      <c r="O9" s="35" t="s">
        <v>1200</v>
      </c>
      <c r="P9" s="35" t="s">
        <v>1201</v>
      </c>
      <c r="Q9" s="35" t="s">
        <v>20</v>
      </c>
      <c r="R9" s="35" t="s">
        <v>1202</v>
      </c>
      <c r="S9" s="35" t="s">
        <v>1203</v>
      </c>
      <c r="T9" s="35" t="s">
        <v>1204</v>
      </c>
      <c r="U9" s="35" t="s">
        <v>20</v>
      </c>
      <c r="V9" s="35" t="s">
        <v>20</v>
      </c>
      <c r="W9" s="35" t="s">
        <v>20</v>
      </c>
      <c r="X9" s="35" t="s">
        <v>1205</v>
      </c>
      <c r="Y9" s="35"/>
      <c r="Z9" s="35"/>
      <c r="AA9" s="35"/>
      <c r="AB9" s="35"/>
      <c r="AC9" s="35"/>
    </row>
    <row r="10">
      <c r="A10" s="34" t="s">
        <v>1179</v>
      </c>
      <c r="B10" s="34" t="s">
        <v>1214</v>
      </c>
      <c r="C10" s="34" t="s">
        <v>1215</v>
      </c>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row>
    <row r="11">
      <c r="A11" s="34" t="s">
        <v>1179</v>
      </c>
      <c r="B11" s="34" t="s">
        <v>1216</v>
      </c>
      <c r="C11" s="34" t="s">
        <v>1217</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row>
    <row r="12">
      <c r="A12" s="34" t="s">
        <v>1179</v>
      </c>
      <c r="B12" s="34" t="s">
        <v>1218</v>
      </c>
      <c r="C12" s="34" t="s">
        <v>1219</v>
      </c>
      <c r="D12" s="35" t="s">
        <v>1220</v>
      </c>
      <c r="E12" s="35" t="s">
        <v>1221</v>
      </c>
      <c r="F12" s="35" t="s">
        <v>1222</v>
      </c>
      <c r="G12" s="35" t="s">
        <v>1223</v>
      </c>
      <c r="H12" s="35" t="s">
        <v>1224</v>
      </c>
      <c r="I12" s="35" t="s">
        <v>15</v>
      </c>
      <c r="J12" s="35" t="s">
        <v>674</v>
      </c>
      <c r="K12" s="35" t="s">
        <v>1218</v>
      </c>
      <c r="L12" s="35" t="s">
        <v>1225</v>
      </c>
      <c r="M12" s="35" t="s">
        <v>1226</v>
      </c>
      <c r="N12" s="35" t="s">
        <v>1227</v>
      </c>
      <c r="O12" s="35" t="s">
        <v>1228</v>
      </c>
      <c r="P12" s="35" t="s">
        <v>1229</v>
      </c>
      <c r="Q12" s="35" t="s">
        <v>1230</v>
      </c>
      <c r="R12" s="35" t="s">
        <v>1231</v>
      </c>
      <c r="S12" s="35" t="s">
        <v>1232</v>
      </c>
      <c r="T12" s="35" t="s">
        <v>1233</v>
      </c>
      <c r="U12" s="35" t="s">
        <v>20</v>
      </c>
      <c r="V12" s="35" t="s">
        <v>20</v>
      </c>
      <c r="W12" s="35" t="s">
        <v>20</v>
      </c>
      <c r="X12" s="35" t="s">
        <v>1234</v>
      </c>
      <c r="Y12" s="35"/>
      <c r="Z12" s="35"/>
      <c r="AA12" s="35"/>
      <c r="AB12" s="35"/>
      <c r="AC12" s="35"/>
    </row>
    <row r="13">
      <c r="D13" s="35" t="s">
        <v>1235</v>
      </c>
      <c r="E13" s="35" t="s">
        <v>1236</v>
      </c>
      <c r="F13" s="35" t="s">
        <v>1237</v>
      </c>
      <c r="G13" s="35" t="s">
        <v>1238</v>
      </c>
      <c r="H13" s="35" t="s">
        <v>1239</v>
      </c>
      <c r="I13" s="35" t="s">
        <v>15</v>
      </c>
      <c r="J13" s="35" t="s">
        <v>674</v>
      </c>
      <c r="K13" s="35" t="s">
        <v>1240</v>
      </c>
      <c r="L13" s="35" t="s">
        <v>1241</v>
      </c>
      <c r="M13" s="35" t="s">
        <v>1242</v>
      </c>
      <c r="N13" s="35" t="s">
        <v>1227</v>
      </c>
      <c r="O13" s="35" t="s">
        <v>1228</v>
      </c>
      <c r="P13" s="35" t="s">
        <v>1229</v>
      </c>
      <c r="Q13" s="35" t="s">
        <v>1230</v>
      </c>
      <c r="R13" s="35" t="s">
        <v>1231</v>
      </c>
      <c r="S13" s="35" t="s">
        <v>1232</v>
      </c>
      <c r="T13" s="35" t="s">
        <v>1233</v>
      </c>
      <c r="U13" s="35" t="s">
        <v>20</v>
      </c>
      <c r="V13" s="35" t="s">
        <v>20</v>
      </c>
      <c r="W13" s="35" t="s">
        <v>20</v>
      </c>
      <c r="X13" s="35" t="s">
        <v>1234</v>
      </c>
      <c r="Y13" s="35"/>
      <c r="Z13" s="35"/>
      <c r="AA13" s="35"/>
      <c r="AB13" s="35"/>
      <c r="AC13" s="35"/>
    </row>
    <row r="14">
      <c r="A14" s="34" t="s">
        <v>1179</v>
      </c>
      <c r="B14" s="34" t="s">
        <v>1243</v>
      </c>
      <c r="C14" s="34" t="s">
        <v>1244</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row>
    <row r="15">
      <c r="A15" s="34" t="s">
        <v>1179</v>
      </c>
      <c r="B15" s="34" t="s">
        <v>1245</v>
      </c>
      <c r="C15" s="34" t="s">
        <v>1246</v>
      </c>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row>
    <row r="16">
      <c r="A16" s="34" t="s">
        <v>1179</v>
      </c>
      <c r="B16" s="34" t="s">
        <v>1247</v>
      </c>
      <c r="C16" s="34" t="s">
        <v>1248</v>
      </c>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row>
    <row r="17">
      <c r="A17" s="34" t="s">
        <v>1179</v>
      </c>
      <c r="B17" s="34" t="s">
        <v>1249</v>
      </c>
      <c r="C17" s="34" t="s">
        <v>1250</v>
      </c>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row>
    <row r="18">
      <c r="A18" s="34" t="s">
        <v>1179</v>
      </c>
      <c r="B18" s="34" t="s">
        <v>1251</v>
      </c>
      <c r="C18" s="34" t="s">
        <v>1252</v>
      </c>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c r="A19" s="34" t="s">
        <v>1179</v>
      </c>
      <c r="B19" s="34" t="s">
        <v>1253</v>
      </c>
      <c r="C19" s="34" t="s">
        <v>1254</v>
      </c>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row>
    <row r="20">
      <c r="A20" s="34" t="s">
        <v>1179</v>
      </c>
      <c r="B20" s="34" t="s">
        <v>1255</v>
      </c>
      <c r="C20" s="34" t="s">
        <v>1256</v>
      </c>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row>
    <row r="21">
      <c r="A21" s="34" t="s">
        <v>1179</v>
      </c>
      <c r="B21" s="34" t="s">
        <v>1257</v>
      </c>
      <c r="C21" s="34" t="s">
        <v>1258</v>
      </c>
      <c r="D21" s="35" t="s">
        <v>1259</v>
      </c>
      <c r="E21" s="35" t="s">
        <v>1260</v>
      </c>
      <c r="F21" s="35" t="s">
        <v>1261</v>
      </c>
      <c r="G21" s="35" t="s">
        <v>1262</v>
      </c>
      <c r="H21" s="35" t="s">
        <v>1263</v>
      </c>
      <c r="I21" s="35" t="s">
        <v>15</v>
      </c>
      <c r="J21" s="35" t="s">
        <v>674</v>
      </c>
      <c r="K21" s="35" t="s">
        <v>1264</v>
      </c>
      <c r="L21" s="35" t="s">
        <v>1257</v>
      </c>
      <c r="M21" s="35" t="s">
        <v>1265</v>
      </c>
      <c r="N21" s="35" t="s">
        <v>1266</v>
      </c>
      <c r="O21" s="35" t="s">
        <v>1267</v>
      </c>
      <c r="P21" s="35" t="s">
        <v>1268</v>
      </c>
      <c r="Q21" s="35" t="s">
        <v>1269</v>
      </c>
      <c r="R21" s="35" t="s">
        <v>1270</v>
      </c>
      <c r="S21" s="35" t="s">
        <v>1271</v>
      </c>
      <c r="T21" s="35" t="s">
        <v>1272</v>
      </c>
      <c r="U21" s="35" t="s">
        <v>20</v>
      </c>
      <c r="V21" s="35" t="s">
        <v>20</v>
      </c>
      <c r="W21" s="35" t="s">
        <v>20</v>
      </c>
      <c r="X21" s="35" t="s">
        <v>1273</v>
      </c>
      <c r="Y21" s="35"/>
      <c r="Z21" s="35"/>
      <c r="AA21" s="35"/>
      <c r="AB21" s="35"/>
      <c r="AC21" s="35"/>
    </row>
    <row r="22">
      <c r="D22" s="35" t="s">
        <v>1274</v>
      </c>
      <c r="E22" s="35" t="s">
        <v>1260</v>
      </c>
      <c r="F22" s="35" t="s">
        <v>1275</v>
      </c>
      <c r="G22" s="35" t="s">
        <v>1276</v>
      </c>
      <c r="H22" s="35" t="s">
        <v>1263</v>
      </c>
      <c r="I22" s="35" t="s">
        <v>15</v>
      </c>
      <c r="J22" s="35" t="s">
        <v>674</v>
      </c>
      <c r="K22" s="35" t="s">
        <v>1264</v>
      </c>
      <c r="L22" s="35" t="s">
        <v>1257</v>
      </c>
      <c r="M22" s="35" t="s">
        <v>1265</v>
      </c>
      <c r="N22" s="35" t="s">
        <v>1266</v>
      </c>
      <c r="O22" s="35" t="s">
        <v>1267</v>
      </c>
      <c r="P22" s="35" t="s">
        <v>1268</v>
      </c>
      <c r="Q22" s="35" t="s">
        <v>1269</v>
      </c>
      <c r="R22" s="35" t="s">
        <v>1270</v>
      </c>
      <c r="S22" s="35" t="s">
        <v>1271</v>
      </c>
      <c r="T22" s="35" t="s">
        <v>1272</v>
      </c>
      <c r="U22" s="35" t="s">
        <v>20</v>
      </c>
      <c r="V22" s="35" t="s">
        <v>20</v>
      </c>
      <c r="W22" s="35" t="s">
        <v>20</v>
      </c>
      <c r="X22" s="35" t="s">
        <v>1273</v>
      </c>
      <c r="Y22" s="35"/>
      <c r="Z22" s="35"/>
      <c r="AA22" s="35"/>
      <c r="AB22" s="35"/>
      <c r="AC22" s="35"/>
    </row>
    <row r="23">
      <c r="A23" s="34" t="s">
        <v>1179</v>
      </c>
      <c r="B23" s="34" t="s">
        <v>1277</v>
      </c>
      <c r="C23" s="34" t="s">
        <v>1278</v>
      </c>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row>
    <row r="24">
      <c r="A24" s="34" t="s">
        <v>1179</v>
      </c>
      <c r="B24" s="34" t="s">
        <v>1279</v>
      </c>
      <c r="C24" s="34" t="s">
        <v>1280</v>
      </c>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c r="A25" s="34" t="s">
        <v>1179</v>
      </c>
      <c r="B25" s="34" t="s">
        <v>1281</v>
      </c>
      <c r="C25" s="34" t="s">
        <v>1282</v>
      </c>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row>
    <row r="26">
      <c r="A26" s="34" t="s">
        <v>1179</v>
      </c>
      <c r="B26" s="34" t="s">
        <v>1283</v>
      </c>
      <c r="C26" s="34" t="s">
        <v>1284</v>
      </c>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c r="A27" s="34" t="s">
        <v>1179</v>
      </c>
      <c r="B27" s="34" t="s">
        <v>1285</v>
      </c>
      <c r="C27" s="34" t="s">
        <v>1286</v>
      </c>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c r="A28" s="34" t="s">
        <v>1179</v>
      </c>
      <c r="B28" s="34" t="s">
        <v>1287</v>
      </c>
      <c r="C28" s="34" t="s">
        <v>1288</v>
      </c>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c r="A29" s="34" t="s">
        <v>1179</v>
      </c>
      <c r="B29" s="34" t="s">
        <v>1289</v>
      </c>
      <c r="C29" s="34" t="s">
        <v>1290</v>
      </c>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c r="A30" s="34" t="s">
        <v>1179</v>
      </c>
      <c r="B30" s="34" t="s">
        <v>1291</v>
      </c>
      <c r="C30" s="34" t="s">
        <v>1292</v>
      </c>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c r="A31" s="34" t="s">
        <v>1179</v>
      </c>
      <c r="B31" s="34" t="s">
        <v>1293</v>
      </c>
      <c r="C31" s="34" t="s">
        <v>1294</v>
      </c>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c r="A32" s="34" t="s">
        <v>1179</v>
      </c>
      <c r="B32" s="34" t="s">
        <v>1295</v>
      </c>
      <c r="C32" s="34" t="s">
        <v>1296</v>
      </c>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c r="A33" s="34" t="s">
        <v>1179</v>
      </c>
      <c r="B33" s="34" t="s">
        <v>1297</v>
      </c>
      <c r="C33" s="34" t="s">
        <v>1288</v>
      </c>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c r="A34" s="34" t="s">
        <v>1179</v>
      </c>
      <c r="B34" s="34" t="s">
        <v>1298</v>
      </c>
      <c r="C34" s="34" t="s">
        <v>1299</v>
      </c>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c r="A35" s="34" t="s">
        <v>1179</v>
      </c>
      <c r="B35" s="34" t="s">
        <v>1300</v>
      </c>
      <c r="C35" s="34" t="s">
        <v>1301</v>
      </c>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c r="A36" s="34" t="s">
        <v>1179</v>
      </c>
      <c r="B36" s="34" t="s">
        <v>1302</v>
      </c>
      <c r="C36" s="34" t="s">
        <v>1303</v>
      </c>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c r="A37" s="34" t="s">
        <v>1179</v>
      </c>
      <c r="B37" s="34" t="s">
        <v>1304</v>
      </c>
      <c r="C37" s="34" t="s">
        <v>1305</v>
      </c>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c r="A38" s="34" t="s">
        <v>1179</v>
      </c>
      <c r="B38" s="34" t="s">
        <v>1306</v>
      </c>
      <c r="C38" s="34" t="s">
        <v>1307</v>
      </c>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c r="A39" s="34" t="s">
        <v>1179</v>
      </c>
      <c r="B39" s="34" t="s">
        <v>1308</v>
      </c>
      <c r="C39" s="34" t="s">
        <v>1309</v>
      </c>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c r="A40" s="34" t="s">
        <v>1179</v>
      </c>
      <c r="B40" s="34" t="s">
        <v>1310</v>
      </c>
      <c r="C40" s="34" t="s">
        <v>1250</v>
      </c>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c r="A41" s="34" t="s">
        <v>1179</v>
      </c>
      <c r="B41" s="34" t="s">
        <v>1311</v>
      </c>
      <c r="C41" s="34" t="s">
        <v>1312</v>
      </c>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c r="A42" s="34" t="s">
        <v>1179</v>
      </c>
      <c r="B42" s="34" t="s">
        <v>1313</v>
      </c>
      <c r="C42" s="34" t="s">
        <v>1312</v>
      </c>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c r="A43" s="34" t="s">
        <v>1179</v>
      </c>
      <c r="B43" s="34" t="s">
        <v>1314</v>
      </c>
      <c r="C43" s="34" t="s">
        <v>1315</v>
      </c>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c r="A44" s="34" t="s">
        <v>1179</v>
      </c>
      <c r="B44" s="34" t="s">
        <v>1316</v>
      </c>
      <c r="C44" s="34" t="s">
        <v>1284</v>
      </c>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c r="A45" s="34" t="s">
        <v>1179</v>
      </c>
      <c r="B45" s="34" t="s">
        <v>1317</v>
      </c>
      <c r="C45" s="34" t="s">
        <v>1258</v>
      </c>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c r="A46" s="34" t="s">
        <v>1179</v>
      </c>
      <c r="B46" s="34" t="s">
        <v>1318</v>
      </c>
      <c r="C46" s="34" t="s">
        <v>1319</v>
      </c>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row r="47">
      <c r="A47" s="34" t="s">
        <v>1179</v>
      </c>
      <c r="B47" s="34" t="s">
        <v>1320</v>
      </c>
      <c r="C47" s="34" t="s">
        <v>1321</v>
      </c>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row>
    <row r="48">
      <c r="A48" s="34" t="s">
        <v>1179</v>
      </c>
      <c r="B48" s="34" t="s">
        <v>1322</v>
      </c>
      <c r="C48" s="34" t="s">
        <v>1321</v>
      </c>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row>
    <row r="49">
      <c r="A49" s="34" t="s">
        <v>1179</v>
      </c>
      <c r="B49" s="34" t="s">
        <v>1323</v>
      </c>
      <c r="C49" s="34" t="s">
        <v>1324</v>
      </c>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row>
    <row r="50">
      <c r="A50" s="34" t="s">
        <v>1179</v>
      </c>
      <c r="B50" s="34" t="s">
        <v>1325</v>
      </c>
      <c r="C50" s="34" t="s">
        <v>1326</v>
      </c>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row>
    <row r="51">
      <c r="A51" s="34" t="s">
        <v>1179</v>
      </c>
      <c r="B51" s="34" t="s">
        <v>1327</v>
      </c>
      <c r="C51" s="34" t="s">
        <v>1328</v>
      </c>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row>
    <row r="52">
      <c r="A52" s="34" t="s">
        <v>1329</v>
      </c>
      <c r="B52" s="34" t="s">
        <v>1330</v>
      </c>
      <c r="C52" s="34" t="s">
        <v>1331</v>
      </c>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row>
    <row r="53">
      <c r="A53" s="34" t="s">
        <v>1332</v>
      </c>
      <c r="B53" s="34" t="s">
        <v>1333</v>
      </c>
      <c r="C53" s="34" t="s">
        <v>1334</v>
      </c>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row>
    <row r="54">
      <c r="A54" s="34" t="s">
        <v>1332</v>
      </c>
      <c r="B54" s="34" t="s">
        <v>1335</v>
      </c>
      <c r="C54" s="34" t="s">
        <v>1336</v>
      </c>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row>
    <row r="55">
      <c r="A55" s="34" t="s">
        <v>1332</v>
      </c>
      <c r="B55" s="34" t="s">
        <v>1337</v>
      </c>
      <c r="C55" s="34" t="s">
        <v>1338</v>
      </c>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row>
    <row r="56">
      <c r="A56" s="34" t="s">
        <v>1332</v>
      </c>
      <c r="B56" s="34" t="s">
        <v>1339</v>
      </c>
      <c r="C56" s="34" t="s">
        <v>1340</v>
      </c>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row>
    <row r="57">
      <c r="A57" s="34" t="s">
        <v>1332</v>
      </c>
      <c r="B57" s="34" t="s">
        <v>1341</v>
      </c>
      <c r="C57" s="34" t="s">
        <v>1342</v>
      </c>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row>
    <row r="58">
      <c r="A58" s="34" t="s">
        <v>1332</v>
      </c>
      <c r="B58" s="34" t="s">
        <v>1343</v>
      </c>
      <c r="C58" s="34" t="s">
        <v>1344</v>
      </c>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row>
    <row r="59">
      <c r="A59" s="34" t="s">
        <v>1332</v>
      </c>
      <c r="B59" s="34" t="s">
        <v>1345</v>
      </c>
      <c r="C59" s="34" t="s">
        <v>1346</v>
      </c>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row>
    <row r="60">
      <c r="A60" s="34" t="s">
        <v>1332</v>
      </c>
      <c r="B60" s="34" t="s">
        <v>1347</v>
      </c>
      <c r="C60" s="34" t="s">
        <v>1342</v>
      </c>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row>
    <row r="61">
      <c r="A61" s="34" t="s">
        <v>1348</v>
      </c>
      <c r="B61" s="34" t="s">
        <v>1349</v>
      </c>
      <c r="C61" s="34" t="s">
        <v>1350</v>
      </c>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row>
    <row r="62">
      <c r="A62" s="34" t="s">
        <v>1348</v>
      </c>
      <c r="B62" s="34" t="s">
        <v>1351</v>
      </c>
      <c r="C62" s="34" t="s">
        <v>1352</v>
      </c>
      <c r="D62" s="35" t="s">
        <v>1353</v>
      </c>
      <c r="E62" s="35" t="s">
        <v>1354</v>
      </c>
      <c r="F62" s="35" t="s">
        <v>1355</v>
      </c>
      <c r="G62" s="35" t="s">
        <v>1356</v>
      </c>
      <c r="H62" s="35" t="s">
        <v>1357</v>
      </c>
      <c r="I62" s="35" t="s">
        <v>15</v>
      </c>
      <c r="J62" s="35" t="s">
        <v>688</v>
      </c>
      <c r="K62" s="35" t="s">
        <v>1358</v>
      </c>
      <c r="L62" s="35" t="s">
        <v>1359</v>
      </c>
      <c r="M62" s="35" t="s">
        <v>1360</v>
      </c>
      <c r="N62" s="35" t="s">
        <v>1361</v>
      </c>
      <c r="O62" s="35" t="s">
        <v>1362</v>
      </c>
      <c r="P62" s="35" t="s">
        <v>1363</v>
      </c>
      <c r="Q62" s="35" t="s">
        <v>1364</v>
      </c>
      <c r="R62" s="35" t="s">
        <v>1365</v>
      </c>
      <c r="S62" s="35" t="s">
        <v>1366</v>
      </c>
      <c r="T62" s="35" t="s">
        <v>1272</v>
      </c>
      <c r="U62" s="35" t="s">
        <v>20</v>
      </c>
      <c r="V62" s="35" t="s">
        <v>20</v>
      </c>
      <c r="W62" s="35" t="s">
        <v>20</v>
      </c>
      <c r="X62" s="35" t="s">
        <v>1367</v>
      </c>
      <c r="Y62" s="35"/>
      <c r="Z62" s="35"/>
      <c r="AA62" s="35"/>
      <c r="AB62" s="35"/>
      <c r="AC62" s="35"/>
    </row>
    <row r="63">
      <c r="A63" s="34" t="s">
        <v>1348</v>
      </c>
      <c r="B63" s="34" t="s">
        <v>1368</v>
      </c>
      <c r="C63" s="34" t="s">
        <v>1369</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row>
    <row r="64">
      <c r="A64" s="34" t="s">
        <v>1348</v>
      </c>
      <c r="B64" s="34" t="s">
        <v>1370</v>
      </c>
      <c r="C64" s="34" t="s">
        <v>1371</v>
      </c>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row>
    <row r="65">
      <c r="A65" s="34" t="s">
        <v>1348</v>
      </c>
      <c r="B65" s="34" t="s">
        <v>1372</v>
      </c>
      <c r="C65" s="34" t="s">
        <v>1373</v>
      </c>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row>
    <row r="66">
      <c r="A66" s="34" t="s">
        <v>1348</v>
      </c>
      <c r="B66" s="34" t="s">
        <v>1374</v>
      </c>
      <c r="C66" s="34" t="s">
        <v>1375</v>
      </c>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row>
    <row r="67">
      <c r="A67" s="34" t="s">
        <v>1348</v>
      </c>
      <c r="B67" s="34" t="s">
        <v>1376</v>
      </c>
      <c r="C67" s="34" t="s">
        <v>1377</v>
      </c>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row>
    <row r="68">
      <c r="A68" s="34" t="s">
        <v>1348</v>
      </c>
      <c r="B68" s="34" t="s">
        <v>1378</v>
      </c>
      <c r="C68" s="34" t="s">
        <v>1379</v>
      </c>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row>
    <row r="69">
      <c r="A69" s="34" t="s">
        <v>1348</v>
      </c>
      <c r="B69" s="34" t="s">
        <v>1380</v>
      </c>
      <c r="C69" s="34" t="s">
        <v>1381</v>
      </c>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row>
    <row r="70">
      <c r="A70" s="34" t="s">
        <v>1348</v>
      </c>
      <c r="B70" s="34" t="s">
        <v>1382</v>
      </c>
      <c r="C70" s="34" t="s">
        <v>1383</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row>
    <row r="71">
      <c r="A71" s="34" t="s">
        <v>1348</v>
      </c>
      <c r="B71" s="34" t="s">
        <v>1384</v>
      </c>
      <c r="C71" s="34" t="s">
        <v>1369</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row>
    <row r="72">
      <c r="A72" s="34" t="s">
        <v>1348</v>
      </c>
      <c r="B72" s="34" t="s">
        <v>1385</v>
      </c>
      <c r="C72" s="34" t="s">
        <v>1373</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row>
    <row r="73">
      <c r="A73" s="34" t="s">
        <v>1348</v>
      </c>
      <c r="B73" s="34" t="s">
        <v>1386</v>
      </c>
      <c r="C73" s="34" t="s">
        <v>1377</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row>
    <row r="74">
      <c r="A74" s="34" t="s">
        <v>1348</v>
      </c>
      <c r="B74" s="34" t="s">
        <v>1387</v>
      </c>
      <c r="C74" s="34" t="s">
        <v>1388</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row>
    <row r="75">
      <c r="A75" s="34" t="s">
        <v>1348</v>
      </c>
      <c r="B75" s="34" t="s">
        <v>1389</v>
      </c>
      <c r="C75" s="34" t="s">
        <v>1371</v>
      </c>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row>
    <row r="76">
      <c r="A76" s="34" t="s">
        <v>1348</v>
      </c>
      <c r="B76" s="34" t="s">
        <v>1390</v>
      </c>
      <c r="C76" s="34" t="s">
        <v>1371</v>
      </c>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row>
    <row r="77">
      <c r="A77" s="34" t="s">
        <v>1348</v>
      </c>
      <c r="B77" s="34" t="s">
        <v>1391</v>
      </c>
      <c r="C77" s="34" t="s">
        <v>1352</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row>
    <row r="78">
      <c r="A78" s="34" t="s">
        <v>1392</v>
      </c>
      <c r="B78" s="34" t="s">
        <v>1393</v>
      </c>
      <c r="C78" s="34" t="s">
        <v>1394</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row>
    <row r="79">
      <c r="A79" s="34" t="s">
        <v>1392</v>
      </c>
      <c r="B79" s="34" t="s">
        <v>1395</v>
      </c>
      <c r="C79" s="34" t="s">
        <v>1396</v>
      </c>
      <c r="D79" s="35" t="s">
        <v>1397</v>
      </c>
      <c r="E79" s="35" t="s">
        <v>1398</v>
      </c>
      <c r="F79" s="36">
        <v>3.0E-81</v>
      </c>
      <c r="G79" s="35" t="s">
        <v>1399</v>
      </c>
      <c r="H79" s="35" t="s">
        <v>1400</v>
      </c>
      <c r="I79" s="35" t="s">
        <v>15</v>
      </c>
      <c r="J79" s="35" t="s">
        <v>688</v>
      </c>
      <c r="K79" s="35" t="s">
        <v>1401</v>
      </c>
      <c r="L79" s="35" t="s">
        <v>1402</v>
      </c>
      <c r="M79" s="35" t="s">
        <v>1403</v>
      </c>
      <c r="N79" s="35" t="s">
        <v>1404</v>
      </c>
      <c r="O79" s="35" t="s">
        <v>1405</v>
      </c>
      <c r="P79" s="35" t="s">
        <v>1406</v>
      </c>
      <c r="Q79" s="35" t="s">
        <v>20</v>
      </c>
      <c r="R79" s="35" t="s">
        <v>20</v>
      </c>
      <c r="S79" s="35" t="s">
        <v>20</v>
      </c>
      <c r="T79" s="35" t="s">
        <v>605</v>
      </c>
      <c r="U79" s="35" t="s">
        <v>20</v>
      </c>
      <c r="V79" s="35" t="s">
        <v>20</v>
      </c>
      <c r="W79" s="35" t="s">
        <v>20</v>
      </c>
      <c r="X79" s="35" t="s">
        <v>1407</v>
      </c>
      <c r="Y79" s="35"/>
      <c r="Z79" s="35"/>
      <c r="AA79" s="35"/>
      <c r="AB79" s="35"/>
      <c r="AC79" s="35"/>
    </row>
    <row r="80">
      <c r="D80" s="35" t="s">
        <v>1408</v>
      </c>
      <c r="E80" s="35" t="s">
        <v>1409</v>
      </c>
      <c r="F80" s="35" t="s">
        <v>1410</v>
      </c>
      <c r="G80" s="35" t="s">
        <v>1411</v>
      </c>
      <c r="H80" s="35" t="s">
        <v>1412</v>
      </c>
      <c r="I80" s="35" t="s">
        <v>15</v>
      </c>
      <c r="J80" s="35" t="s">
        <v>1413</v>
      </c>
      <c r="K80" s="35" t="s">
        <v>1414</v>
      </c>
      <c r="L80" s="35" t="s">
        <v>1402</v>
      </c>
      <c r="M80" s="35" t="s">
        <v>1403</v>
      </c>
      <c r="N80" s="35" t="s">
        <v>1404</v>
      </c>
      <c r="O80" s="35" t="s">
        <v>1405</v>
      </c>
      <c r="P80" s="35" t="s">
        <v>1406</v>
      </c>
      <c r="Q80" s="35" t="s">
        <v>20</v>
      </c>
      <c r="R80" s="35" t="s">
        <v>20</v>
      </c>
      <c r="S80" s="35" t="s">
        <v>20</v>
      </c>
      <c r="T80" s="35" t="s">
        <v>605</v>
      </c>
      <c r="U80" s="35" t="s">
        <v>20</v>
      </c>
      <c r="V80" s="35" t="s">
        <v>20</v>
      </c>
      <c r="W80" s="35" t="s">
        <v>20</v>
      </c>
      <c r="X80" s="35" t="s">
        <v>1407</v>
      </c>
      <c r="Y80" s="35"/>
      <c r="Z80" s="35"/>
      <c r="AA80" s="35"/>
      <c r="AB80" s="35"/>
      <c r="AC80" s="35"/>
    </row>
    <row r="81">
      <c r="A81" s="34" t="s">
        <v>1392</v>
      </c>
      <c r="B81" s="34" t="s">
        <v>1415</v>
      </c>
      <c r="C81" s="34" t="s">
        <v>1416</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row>
    <row r="82">
      <c r="A82" s="34" t="s">
        <v>1392</v>
      </c>
      <c r="B82" s="34" t="s">
        <v>1417</v>
      </c>
      <c r="C82" s="34" t="s">
        <v>1418</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row>
    <row r="83">
      <c r="A83" s="34" t="s">
        <v>1392</v>
      </c>
      <c r="B83" s="34" t="s">
        <v>1419</v>
      </c>
      <c r="C83" s="34" t="s">
        <v>1416</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row>
    <row r="84">
      <c r="A84" s="34" t="s">
        <v>1392</v>
      </c>
      <c r="B84" s="34" t="s">
        <v>1420</v>
      </c>
      <c r="C84" s="34" t="s">
        <v>1421</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row>
    <row r="85">
      <c r="A85" s="34" t="s">
        <v>1422</v>
      </c>
      <c r="B85" s="34" t="s">
        <v>1423</v>
      </c>
      <c r="C85" s="34" t="s">
        <v>1424</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row>
    <row r="86">
      <c r="A86" s="34" t="s">
        <v>1422</v>
      </c>
      <c r="B86" s="34" t="s">
        <v>1425</v>
      </c>
      <c r="C86" s="34" t="s">
        <v>1426</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row>
    <row r="87">
      <c r="A87" s="34" t="s">
        <v>1422</v>
      </c>
      <c r="B87" s="34" t="s">
        <v>1427</v>
      </c>
      <c r="C87" s="34" t="s">
        <v>1428</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row>
    <row r="88">
      <c r="A88" s="34" t="s">
        <v>1422</v>
      </c>
      <c r="B88" s="34" t="s">
        <v>1429</v>
      </c>
      <c r="C88" s="34" t="s">
        <v>1430</v>
      </c>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row>
    <row r="89">
      <c r="A89" s="34" t="s">
        <v>1422</v>
      </c>
      <c r="B89" s="34" t="s">
        <v>1431</v>
      </c>
      <c r="C89" s="34" t="s">
        <v>1432</v>
      </c>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row>
    <row r="90">
      <c r="A90" s="34" t="s">
        <v>1422</v>
      </c>
      <c r="B90" s="34" t="s">
        <v>1433</v>
      </c>
      <c r="C90" s="34" t="s">
        <v>1434</v>
      </c>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row>
    <row r="91">
      <c r="A91" s="34" t="s">
        <v>1422</v>
      </c>
      <c r="B91" s="34" t="s">
        <v>1435</v>
      </c>
      <c r="C91" s="34" t="s">
        <v>1436</v>
      </c>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row>
    <row r="92">
      <c r="A92" s="34" t="s">
        <v>1437</v>
      </c>
      <c r="B92" s="34" t="s">
        <v>1438</v>
      </c>
      <c r="C92" s="34" t="s">
        <v>1439</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row>
    <row r="93">
      <c r="A93" s="34" t="s">
        <v>1437</v>
      </c>
      <c r="B93" s="34" t="s">
        <v>1440</v>
      </c>
      <c r="C93" s="34" t="s">
        <v>1441</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row>
    <row r="94">
      <c r="A94" s="34" t="s">
        <v>1437</v>
      </c>
      <c r="B94" s="34" t="s">
        <v>1442</v>
      </c>
      <c r="C94" s="34" t="s">
        <v>1443</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row>
    <row r="95">
      <c r="A95" s="34" t="s">
        <v>1437</v>
      </c>
      <c r="B95" s="34" t="s">
        <v>1444</v>
      </c>
      <c r="C95" s="34" t="s">
        <v>1445</v>
      </c>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row>
    <row r="96">
      <c r="A96" s="34" t="s">
        <v>1437</v>
      </c>
      <c r="B96" s="34" t="s">
        <v>1446</v>
      </c>
      <c r="C96" s="34" t="s">
        <v>1447</v>
      </c>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row>
    <row r="97">
      <c r="A97" s="34" t="s">
        <v>1437</v>
      </c>
      <c r="B97" s="34" t="s">
        <v>1448</v>
      </c>
      <c r="C97" s="34" t="s">
        <v>1449</v>
      </c>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row>
    <row r="98">
      <c r="A98" s="34" t="s">
        <v>1437</v>
      </c>
      <c r="B98" s="34" t="s">
        <v>1450</v>
      </c>
      <c r="C98" s="34" t="s">
        <v>1449</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row>
    <row r="99">
      <c r="A99" s="34" t="s">
        <v>1437</v>
      </c>
      <c r="B99" s="34" t="s">
        <v>1451</v>
      </c>
      <c r="C99" s="34" t="s">
        <v>1449</v>
      </c>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row>
    <row r="100">
      <c r="A100" s="34" t="s">
        <v>1437</v>
      </c>
      <c r="B100" s="34" t="s">
        <v>1452</v>
      </c>
      <c r="C100" s="34" t="s">
        <v>1453</v>
      </c>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row>
    <row r="101">
      <c r="A101" s="34" t="s">
        <v>1454</v>
      </c>
      <c r="B101" s="34" t="s">
        <v>1455</v>
      </c>
      <c r="C101" s="34" t="s">
        <v>1456</v>
      </c>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row>
    <row r="102">
      <c r="A102" s="34" t="s">
        <v>1454</v>
      </c>
      <c r="B102" s="34" t="s">
        <v>1457</v>
      </c>
      <c r="C102" s="34" t="s">
        <v>1458</v>
      </c>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row>
    <row r="103">
      <c r="A103" s="34" t="s">
        <v>1454</v>
      </c>
      <c r="B103" s="34" t="s">
        <v>1459</v>
      </c>
      <c r="C103" s="34" t="s">
        <v>1456</v>
      </c>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row>
    <row r="104">
      <c r="A104" s="34" t="s">
        <v>1460</v>
      </c>
      <c r="B104" s="34" t="s">
        <v>1461</v>
      </c>
      <c r="C104" s="34" t="s">
        <v>1462</v>
      </c>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row>
    <row r="105">
      <c r="A105" s="34" t="s">
        <v>1460</v>
      </c>
      <c r="B105" s="34" t="s">
        <v>1463</v>
      </c>
      <c r="C105" s="34" t="s">
        <v>1464</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row>
    <row r="106">
      <c r="A106" s="34" t="s">
        <v>1465</v>
      </c>
      <c r="B106" s="34" t="s">
        <v>1466</v>
      </c>
      <c r="C106" s="34" t="s">
        <v>1467</v>
      </c>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row>
    <row r="107">
      <c r="A107" s="34" t="s">
        <v>1465</v>
      </c>
      <c r="B107" s="34" t="s">
        <v>1468</v>
      </c>
      <c r="C107" s="34" t="s">
        <v>1469</v>
      </c>
      <c r="D107" s="11" t="s">
        <v>1470</v>
      </c>
      <c r="E107" s="11" t="s">
        <v>1471</v>
      </c>
      <c r="F107" s="33">
        <v>2.0E-136</v>
      </c>
      <c r="G107" s="11" t="s">
        <v>1472</v>
      </c>
      <c r="H107" s="11" t="s">
        <v>1473</v>
      </c>
      <c r="I107" s="11" t="s">
        <v>15</v>
      </c>
      <c r="J107" s="11" t="s">
        <v>776</v>
      </c>
      <c r="K107" s="11" t="s">
        <v>1474</v>
      </c>
      <c r="L107" s="11" t="s">
        <v>1475</v>
      </c>
      <c r="M107" s="11" t="s">
        <v>1476</v>
      </c>
      <c r="N107" s="11" t="s">
        <v>1477</v>
      </c>
      <c r="O107" s="11" t="s">
        <v>1478</v>
      </c>
      <c r="P107" s="11" t="s">
        <v>1479</v>
      </c>
      <c r="Q107" s="11" t="s">
        <v>1480</v>
      </c>
      <c r="R107" s="11" t="s">
        <v>1481</v>
      </c>
      <c r="S107" s="11" t="s">
        <v>1482</v>
      </c>
      <c r="T107" s="11" t="s">
        <v>1233</v>
      </c>
      <c r="U107" s="11" t="s">
        <v>20</v>
      </c>
      <c r="V107" s="11" t="s">
        <v>20</v>
      </c>
      <c r="W107" s="11" t="s">
        <v>20</v>
      </c>
      <c r="X107" s="11" t="s">
        <v>1483</v>
      </c>
      <c r="Y107" s="11"/>
      <c r="Z107" s="11"/>
      <c r="AA107" s="11"/>
      <c r="AB107" s="11"/>
      <c r="AC107" s="11"/>
    </row>
    <row r="108">
      <c r="A108" s="34" t="s">
        <v>1465</v>
      </c>
      <c r="B108" s="34" t="s">
        <v>1484</v>
      </c>
      <c r="C108" s="34" t="s">
        <v>1485</v>
      </c>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row>
    <row r="109">
      <c r="A109" s="34" t="s">
        <v>1486</v>
      </c>
      <c r="B109" s="34" t="s">
        <v>1487</v>
      </c>
      <c r="C109" s="34" t="s">
        <v>1488</v>
      </c>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row>
    <row r="110">
      <c r="A110" s="34" t="s">
        <v>1486</v>
      </c>
      <c r="B110" s="34" t="s">
        <v>1489</v>
      </c>
      <c r="C110" s="34" t="s">
        <v>1490</v>
      </c>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row>
    <row r="111">
      <c r="A111" s="34" t="s">
        <v>1486</v>
      </c>
      <c r="B111" s="34" t="s">
        <v>1491</v>
      </c>
      <c r="C111" s="34" t="s">
        <v>1492</v>
      </c>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row>
    <row r="112">
      <c r="A112" s="34" t="s">
        <v>1486</v>
      </c>
      <c r="B112" s="34" t="s">
        <v>1493</v>
      </c>
      <c r="C112" s="34" t="s">
        <v>1494</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row>
    <row r="113">
      <c r="A113" s="34" t="s">
        <v>1486</v>
      </c>
      <c r="B113" s="34" t="s">
        <v>1495</v>
      </c>
      <c r="C113" s="34" t="s">
        <v>1490</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row>
    <row r="114">
      <c r="A114" s="34" t="s">
        <v>1486</v>
      </c>
      <c r="B114" s="34" t="s">
        <v>1496</v>
      </c>
      <c r="C114" s="34" t="s">
        <v>1490</v>
      </c>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row>
    <row r="115">
      <c r="A115" s="34" t="s">
        <v>1497</v>
      </c>
      <c r="B115" s="34" t="s">
        <v>1498</v>
      </c>
      <c r="C115" s="34" t="s">
        <v>1499</v>
      </c>
      <c r="D115" s="11" t="s">
        <v>1500</v>
      </c>
      <c r="E115" s="11" t="s">
        <v>1501</v>
      </c>
      <c r="F115" s="11" t="s">
        <v>1502</v>
      </c>
      <c r="G115" s="11" t="s">
        <v>1503</v>
      </c>
      <c r="H115" s="11" t="s">
        <v>1504</v>
      </c>
      <c r="I115" s="11" t="s">
        <v>15</v>
      </c>
      <c r="J115" s="11" t="s">
        <v>688</v>
      </c>
      <c r="K115" s="11" t="s">
        <v>1505</v>
      </c>
      <c r="L115" s="11" t="s">
        <v>1498</v>
      </c>
      <c r="M115" s="11" t="s">
        <v>1506</v>
      </c>
      <c r="N115" s="11" t="s">
        <v>1507</v>
      </c>
      <c r="O115" s="11" t="s">
        <v>1508</v>
      </c>
      <c r="P115" s="11" t="s">
        <v>1509</v>
      </c>
      <c r="Q115" s="11" t="s">
        <v>1510</v>
      </c>
      <c r="R115" s="11" t="s">
        <v>1511</v>
      </c>
      <c r="S115" s="11" t="s">
        <v>1512</v>
      </c>
      <c r="T115" s="11" t="s">
        <v>1233</v>
      </c>
      <c r="U115" s="11" t="s">
        <v>1513</v>
      </c>
      <c r="V115" s="11" t="s">
        <v>20</v>
      </c>
      <c r="W115" s="11" t="s">
        <v>20</v>
      </c>
      <c r="X115" s="11" t="s">
        <v>1514</v>
      </c>
      <c r="Y115" s="11"/>
      <c r="Z115" s="11"/>
      <c r="AA115" s="11"/>
      <c r="AB115" s="11"/>
      <c r="AC115" s="11"/>
    </row>
    <row r="116">
      <c r="A116" s="34" t="s">
        <v>1497</v>
      </c>
      <c r="B116" s="34" t="s">
        <v>1515</v>
      </c>
      <c r="C116" s="34" t="s">
        <v>1516</v>
      </c>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row>
    <row r="117">
      <c r="A117" s="34" t="s">
        <v>1497</v>
      </c>
      <c r="B117" s="34" t="s">
        <v>1517</v>
      </c>
      <c r="C117" s="34" t="s">
        <v>1518</v>
      </c>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row>
    <row r="118">
      <c r="A118" s="34" t="s">
        <v>1497</v>
      </c>
      <c r="B118" s="34" t="s">
        <v>1519</v>
      </c>
      <c r="C118" s="34" t="s">
        <v>1520</v>
      </c>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row>
    <row r="119">
      <c r="A119" s="34" t="s">
        <v>1497</v>
      </c>
      <c r="B119" s="34" t="s">
        <v>1521</v>
      </c>
      <c r="C119" s="34" t="s">
        <v>1522</v>
      </c>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row>
    <row r="120">
      <c r="A120" s="34" t="s">
        <v>1497</v>
      </c>
      <c r="B120" s="34" t="s">
        <v>1523</v>
      </c>
      <c r="C120" s="34" t="s">
        <v>1524</v>
      </c>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row>
    <row r="121">
      <c r="A121" s="34" t="s">
        <v>1497</v>
      </c>
      <c r="B121" s="34" t="s">
        <v>1525</v>
      </c>
      <c r="C121" s="34" t="s">
        <v>1526</v>
      </c>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row>
    <row r="122">
      <c r="A122" s="34" t="s">
        <v>1497</v>
      </c>
      <c r="B122" s="34" t="s">
        <v>1527</v>
      </c>
      <c r="C122" s="34" t="s">
        <v>1528</v>
      </c>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row>
    <row r="123">
      <c r="A123" s="34" t="s">
        <v>1497</v>
      </c>
      <c r="B123" s="34" t="s">
        <v>1529</v>
      </c>
      <c r="C123" s="34" t="s">
        <v>1530</v>
      </c>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row>
    <row r="124">
      <c r="A124" s="34" t="s">
        <v>1497</v>
      </c>
      <c r="B124" s="34" t="s">
        <v>1531</v>
      </c>
      <c r="C124" s="34" t="s">
        <v>1532</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row>
    <row r="125">
      <c r="A125" s="34" t="s">
        <v>1497</v>
      </c>
      <c r="B125" s="34" t="s">
        <v>1533</v>
      </c>
      <c r="C125" s="34" t="s">
        <v>1534</v>
      </c>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row>
    <row r="126">
      <c r="A126" s="34" t="s">
        <v>1497</v>
      </c>
      <c r="B126" s="34" t="s">
        <v>1535</v>
      </c>
      <c r="C126" s="34" t="s">
        <v>1536</v>
      </c>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row>
    <row r="127">
      <c r="A127" s="34" t="s">
        <v>1497</v>
      </c>
      <c r="B127" s="34" t="s">
        <v>1537</v>
      </c>
      <c r="C127" s="34" t="s">
        <v>1538</v>
      </c>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row>
    <row r="128">
      <c r="A128" s="34" t="s">
        <v>1497</v>
      </c>
      <c r="B128" s="34" t="s">
        <v>1539</v>
      </c>
      <c r="C128" s="34" t="s">
        <v>1540</v>
      </c>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row>
    <row r="129">
      <c r="A129" s="34" t="s">
        <v>1497</v>
      </c>
      <c r="B129" s="34" t="s">
        <v>1541</v>
      </c>
      <c r="C129" s="34" t="s">
        <v>1542</v>
      </c>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row>
    <row r="130">
      <c r="A130" s="34" t="s">
        <v>1497</v>
      </c>
      <c r="B130" s="34" t="s">
        <v>1543</v>
      </c>
      <c r="C130" s="34" t="s">
        <v>1544</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row>
    <row r="131">
      <c r="A131" s="34" t="s">
        <v>1497</v>
      </c>
      <c r="B131" s="34" t="s">
        <v>1545</v>
      </c>
      <c r="C131" s="34" t="s">
        <v>1546</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row>
    <row r="132">
      <c r="A132" s="34" t="s">
        <v>1497</v>
      </c>
      <c r="B132" s="34" t="s">
        <v>1547</v>
      </c>
      <c r="C132" s="34" t="s">
        <v>1524</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row>
    <row r="133">
      <c r="A133" s="34" t="s">
        <v>1497</v>
      </c>
      <c r="B133" s="34" t="s">
        <v>1548</v>
      </c>
      <c r="C133" s="34" t="s">
        <v>1520</v>
      </c>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row>
    <row r="134">
      <c r="A134" s="34" t="s">
        <v>1497</v>
      </c>
      <c r="B134" s="34" t="s">
        <v>1549</v>
      </c>
      <c r="C134" s="34" t="s">
        <v>1550</v>
      </c>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row>
    <row r="135">
      <c r="A135" s="34" t="s">
        <v>1497</v>
      </c>
      <c r="B135" s="34" t="s">
        <v>1551</v>
      </c>
      <c r="C135" s="34" t="s">
        <v>1516</v>
      </c>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row>
    <row r="136">
      <c r="A136" s="34" t="s">
        <v>1497</v>
      </c>
      <c r="B136" s="34" t="s">
        <v>1552</v>
      </c>
      <c r="C136" s="34" t="s">
        <v>1518</v>
      </c>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row>
    <row r="137">
      <c r="A137" s="34" t="s">
        <v>1497</v>
      </c>
      <c r="B137" s="34" t="s">
        <v>1553</v>
      </c>
      <c r="C137" s="34" t="s">
        <v>1554</v>
      </c>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row>
    <row r="138">
      <c r="A138" s="34" t="s">
        <v>1497</v>
      </c>
      <c r="B138" s="34" t="s">
        <v>1555</v>
      </c>
      <c r="C138" s="34" t="s">
        <v>1556</v>
      </c>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row>
    <row r="139">
      <c r="A139" s="34" t="s">
        <v>1497</v>
      </c>
      <c r="B139" s="34" t="s">
        <v>1557</v>
      </c>
      <c r="C139" s="34" t="s">
        <v>1558</v>
      </c>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row>
    <row r="140">
      <c r="A140" s="34" t="s">
        <v>1497</v>
      </c>
      <c r="B140" s="34" t="s">
        <v>1559</v>
      </c>
      <c r="C140" s="34" t="s">
        <v>1560</v>
      </c>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row>
    <row r="141">
      <c r="A141" s="34" t="s">
        <v>1497</v>
      </c>
      <c r="B141" s="34" t="s">
        <v>1561</v>
      </c>
      <c r="C141" s="34" t="s">
        <v>1562</v>
      </c>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row>
    <row r="142">
      <c r="A142" s="34" t="s">
        <v>1497</v>
      </c>
      <c r="B142" s="34" t="s">
        <v>1563</v>
      </c>
      <c r="C142" s="34" t="s">
        <v>1564</v>
      </c>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row>
    <row r="143">
      <c r="A143" s="34" t="s">
        <v>1497</v>
      </c>
      <c r="B143" s="34" t="s">
        <v>1565</v>
      </c>
      <c r="C143" s="34" t="s">
        <v>1566</v>
      </c>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row>
    <row r="144">
      <c r="A144" s="34" t="s">
        <v>1497</v>
      </c>
      <c r="B144" s="34" t="s">
        <v>1567</v>
      </c>
      <c r="C144" s="34" t="s">
        <v>1568</v>
      </c>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row>
    <row r="145">
      <c r="A145" s="34" t="s">
        <v>1497</v>
      </c>
      <c r="B145" s="34" t="s">
        <v>1569</v>
      </c>
      <c r="C145" s="34" t="s">
        <v>1570</v>
      </c>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row>
    <row r="146">
      <c r="A146" s="34" t="s">
        <v>1497</v>
      </c>
      <c r="B146" s="34" t="s">
        <v>1571</v>
      </c>
      <c r="C146" s="34" t="s">
        <v>1572</v>
      </c>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row>
    <row r="147">
      <c r="A147" s="34" t="s">
        <v>1497</v>
      </c>
      <c r="B147" s="34" t="s">
        <v>1573</v>
      </c>
      <c r="C147" s="34" t="s">
        <v>1574</v>
      </c>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row>
    <row r="148">
      <c r="A148" s="34" t="s">
        <v>1497</v>
      </c>
      <c r="B148" s="34" t="s">
        <v>1575</v>
      </c>
      <c r="C148" s="34" t="s">
        <v>1576</v>
      </c>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row>
    <row r="149">
      <c r="A149" s="34" t="s">
        <v>1497</v>
      </c>
      <c r="B149" s="34" t="s">
        <v>1577</v>
      </c>
      <c r="C149" s="34" t="s">
        <v>1578</v>
      </c>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row>
    <row r="150">
      <c r="A150" s="34" t="s">
        <v>1579</v>
      </c>
      <c r="B150" s="34" t="s">
        <v>1580</v>
      </c>
      <c r="C150" s="34" t="s">
        <v>1581</v>
      </c>
      <c r="D150" s="11" t="s">
        <v>1582</v>
      </c>
      <c r="E150" s="11" t="s">
        <v>1583</v>
      </c>
      <c r="F150" s="11" t="s">
        <v>1584</v>
      </c>
      <c r="G150" s="11" t="s">
        <v>1585</v>
      </c>
      <c r="H150" s="11" t="s">
        <v>1586</v>
      </c>
      <c r="I150" s="11" t="s">
        <v>15</v>
      </c>
      <c r="J150" s="11" t="s">
        <v>688</v>
      </c>
      <c r="K150" s="11" t="s">
        <v>1587</v>
      </c>
      <c r="L150" s="11" t="s">
        <v>1588</v>
      </c>
      <c r="M150" s="11" t="s">
        <v>1589</v>
      </c>
      <c r="N150" s="11" t="s">
        <v>1590</v>
      </c>
      <c r="O150" s="11" t="s">
        <v>1591</v>
      </c>
      <c r="P150" s="11" t="s">
        <v>1592</v>
      </c>
      <c r="Q150" s="11" t="s">
        <v>1593</v>
      </c>
      <c r="R150" s="11" t="s">
        <v>1594</v>
      </c>
      <c r="S150" s="11" t="s">
        <v>1595</v>
      </c>
      <c r="T150" s="11" t="s">
        <v>1233</v>
      </c>
      <c r="U150" s="11" t="s">
        <v>20</v>
      </c>
      <c r="V150" s="11" t="s">
        <v>20</v>
      </c>
      <c r="W150" s="11" t="s">
        <v>20</v>
      </c>
      <c r="X150" s="11" t="s">
        <v>1596</v>
      </c>
      <c r="Y150" s="11"/>
      <c r="Z150" s="11"/>
      <c r="AA150" s="11"/>
      <c r="AB150" s="11"/>
      <c r="AC150" s="11"/>
    </row>
    <row r="151">
      <c r="A151" s="34" t="s">
        <v>1579</v>
      </c>
      <c r="B151" s="34" t="s">
        <v>1597</v>
      </c>
      <c r="C151" s="34" t="s">
        <v>1598</v>
      </c>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row>
    <row r="152">
      <c r="A152" s="34" t="s">
        <v>1579</v>
      </c>
      <c r="B152" s="34" t="s">
        <v>1599</v>
      </c>
      <c r="C152" s="34" t="s">
        <v>1581</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row>
    <row r="153">
      <c r="A153" s="34" t="s">
        <v>1579</v>
      </c>
      <c r="B153" s="34" t="s">
        <v>1600</v>
      </c>
      <c r="C153" s="34" t="s">
        <v>1601</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row>
    <row r="154">
      <c r="A154" s="34" t="s">
        <v>1602</v>
      </c>
      <c r="B154" s="34" t="s">
        <v>1603</v>
      </c>
      <c r="C154" s="34" t="s">
        <v>1604</v>
      </c>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row>
    <row r="155">
      <c r="A155" s="34" t="s">
        <v>1602</v>
      </c>
      <c r="B155" s="34" t="s">
        <v>1605</v>
      </c>
      <c r="C155" s="34" t="s">
        <v>1606</v>
      </c>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row>
    <row r="156">
      <c r="A156" s="34" t="s">
        <v>1602</v>
      </c>
      <c r="B156" s="34" t="s">
        <v>1607</v>
      </c>
      <c r="C156" s="34" t="s">
        <v>1608</v>
      </c>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row>
    <row r="157">
      <c r="A157" s="34" t="s">
        <v>1602</v>
      </c>
      <c r="B157" s="34" t="s">
        <v>1609</v>
      </c>
      <c r="C157" s="34" t="s">
        <v>1610</v>
      </c>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row>
    <row r="158">
      <c r="A158" s="34" t="s">
        <v>1602</v>
      </c>
      <c r="B158" s="34" t="s">
        <v>1611</v>
      </c>
      <c r="C158" s="34" t="s">
        <v>1612</v>
      </c>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row>
    <row r="159">
      <c r="A159" s="34" t="s">
        <v>1602</v>
      </c>
      <c r="B159" s="34" t="s">
        <v>1613</v>
      </c>
      <c r="C159" s="34" t="s">
        <v>1614</v>
      </c>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row>
    <row r="160">
      <c r="A160" s="34" t="s">
        <v>1602</v>
      </c>
      <c r="B160" s="34" t="s">
        <v>1615</v>
      </c>
      <c r="C160" s="34" t="s">
        <v>1616</v>
      </c>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row>
    <row r="161">
      <c r="A161" s="34" t="s">
        <v>1602</v>
      </c>
      <c r="B161" s="34" t="s">
        <v>1617</v>
      </c>
      <c r="C161" s="34" t="s">
        <v>1618</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row>
    <row r="162">
      <c r="A162" s="34" t="s">
        <v>1619</v>
      </c>
      <c r="B162" s="34" t="s">
        <v>1620</v>
      </c>
      <c r="C162" s="34" t="s">
        <v>1621</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row>
    <row r="163">
      <c r="A163" s="34" t="s">
        <v>1619</v>
      </c>
      <c r="B163" s="34" t="s">
        <v>1622</v>
      </c>
      <c r="C163" s="34" t="s">
        <v>1623</v>
      </c>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row>
    <row r="164">
      <c r="A164" s="34" t="s">
        <v>1619</v>
      </c>
      <c r="B164" s="34" t="s">
        <v>1624</v>
      </c>
      <c r="C164" s="34" t="s">
        <v>1623</v>
      </c>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row>
    <row r="165">
      <c r="A165" s="34" t="s">
        <v>1619</v>
      </c>
      <c r="B165" s="34" t="s">
        <v>1625</v>
      </c>
      <c r="C165" s="34" t="s">
        <v>1626</v>
      </c>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row>
    <row r="166">
      <c r="A166" s="34" t="s">
        <v>1619</v>
      </c>
      <c r="B166" s="34" t="s">
        <v>1627</v>
      </c>
      <c r="C166" s="34" t="s">
        <v>1628</v>
      </c>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row>
    <row r="167">
      <c r="A167" s="34" t="s">
        <v>1619</v>
      </c>
      <c r="B167" s="34" t="s">
        <v>1629</v>
      </c>
      <c r="C167" s="34" t="s">
        <v>1630</v>
      </c>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row>
    <row r="168">
      <c r="A168" s="34" t="s">
        <v>1619</v>
      </c>
      <c r="B168" s="34" t="s">
        <v>1631</v>
      </c>
      <c r="C168" s="34" t="s">
        <v>1632</v>
      </c>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row>
    <row r="169">
      <c r="A169" s="34" t="s">
        <v>1619</v>
      </c>
      <c r="B169" s="34" t="s">
        <v>1633</v>
      </c>
      <c r="C169" s="34" t="s">
        <v>1634</v>
      </c>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row>
    <row r="170">
      <c r="A170" s="34" t="s">
        <v>1619</v>
      </c>
      <c r="B170" s="34" t="s">
        <v>1635</v>
      </c>
      <c r="C170" s="34" t="s">
        <v>1636</v>
      </c>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row>
    <row r="171">
      <c r="A171" s="34" t="s">
        <v>1619</v>
      </c>
      <c r="B171" s="34" t="s">
        <v>1637</v>
      </c>
      <c r="C171" s="34" t="s">
        <v>1636</v>
      </c>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row>
    <row r="172">
      <c r="A172" s="34" t="s">
        <v>1619</v>
      </c>
      <c r="B172" s="34" t="s">
        <v>1638</v>
      </c>
      <c r="C172" s="34" t="s">
        <v>1639</v>
      </c>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row>
    <row r="173">
      <c r="A173" s="34" t="s">
        <v>1640</v>
      </c>
      <c r="B173" s="34" t="s">
        <v>1641</v>
      </c>
      <c r="C173" s="34" t="s">
        <v>1642</v>
      </c>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row>
    <row r="174">
      <c r="A174" s="34" t="s">
        <v>1640</v>
      </c>
      <c r="B174" s="34" t="s">
        <v>1643</v>
      </c>
      <c r="C174" s="34" t="s">
        <v>1644</v>
      </c>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row>
    <row r="175">
      <c r="A175" s="34" t="s">
        <v>1640</v>
      </c>
      <c r="B175" s="34" t="s">
        <v>1645</v>
      </c>
      <c r="C175" s="34" t="s">
        <v>1646</v>
      </c>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row>
    <row r="176">
      <c r="A176" s="34" t="s">
        <v>1640</v>
      </c>
      <c r="B176" s="34" t="s">
        <v>1647</v>
      </c>
      <c r="C176" s="34" t="s">
        <v>1648</v>
      </c>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row>
    <row r="177">
      <c r="A177" s="34" t="s">
        <v>1640</v>
      </c>
      <c r="B177" s="34" t="s">
        <v>1552</v>
      </c>
      <c r="C177" s="34" t="s">
        <v>1649</v>
      </c>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row>
    <row r="178">
      <c r="A178" s="34" t="s">
        <v>1640</v>
      </c>
      <c r="B178" s="34" t="s">
        <v>1650</v>
      </c>
      <c r="C178" s="34" t="s">
        <v>1651</v>
      </c>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row>
    <row r="179">
      <c r="A179" s="34" t="s">
        <v>1640</v>
      </c>
      <c r="B179" s="34" t="s">
        <v>1652</v>
      </c>
      <c r="C179" s="34" t="s">
        <v>1653</v>
      </c>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row>
    <row r="180">
      <c r="A180" s="34" t="s">
        <v>1640</v>
      </c>
      <c r="B180" s="34" t="s">
        <v>1180</v>
      </c>
      <c r="C180" s="34" t="s">
        <v>1654</v>
      </c>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row>
    <row r="181">
      <c r="A181" s="34" t="s">
        <v>1640</v>
      </c>
      <c r="B181" s="34" t="s">
        <v>1431</v>
      </c>
      <c r="C181" s="34" t="s">
        <v>1655</v>
      </c>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row>
    <row r="182">
      <c r="A182" s="34" t="s">
        <v>1640</v>
      </c>
      <c r="B182" s="34" t="s">
        <v>1656</v>
      </c>
      <c r="C182" s="34" t="s">
        <v>1657</v>
      </c>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row>
    <row r="183">
      <c r="A183" s="34" t="s">
        <v>1640</v>
      </c>
      <c r="B183" s="34" t="s">
        <v>1658</v>
      </c>
      <c r="C183" s="34" t="s">
        <v>1659</v>
      </c>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row>
    <row r="184">
      <c r="A184" s="34" t="s">
        <v>1640</v>
      </c>
      <c r="B184" s="34" t="s">
        <v>1660</v>
      </c>
      <c r="C184" s="34" t="s">
        <v>1661</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row>
    <row r="185">
      <c r="A185" s="34" t="s">
        <v>1640</v>
      </c>
      <c r="B185" s="34" t="s">
        <v>1662</v>
      </c>
      <c r="C185" s="34" t="s">
        <v>1663</v>
      </c>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row>
    <row r="186">
      <c r="A186" s="34" t="s">
        <v>1664</v>
      </c>
      <c r="B186" s="34" t="s">
        <v>1665</v>
      </c>
      <c r="C186" s="34" t="s">
        <v>1666</v>
      </c>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row>
    <row r="187">
      <c r="A187" s="34" t="s">
        <v>1664</v>
      </c>
      <c r="B187" s="34" t="s">
        <v>1667</v>
      </c>
      <c r="C187" s="34" t="s">
        <v>1668</v>
      </c>
      <c r="D187" s="11" t="s">
        <v>1669</v>
      </c>
      <c r="E187" s="11" t="s">
        <v>1670</v>
      </c>
      <c r="F187" s="11" t="s">
        <v>1671</v>
      </c>
      <c r="G187" s="11" t="s">
        <v>1672</v>
      </c>
      <c r="H187" s="11" t="s">
        <v>1673</v>
      </c>
      <c r="I187" s="11" t="s">
        <v>15</v>
      </c>
      <c r="J187" s="11" t="s">
        <v>688</v>
      </c>
      <c r="K187" s="11" t="s">
        <v>1674</v>
      </c>
      <c r="L187" s="11" t="s">
        <v>1675</v>
      </c>
      <c r="M187" s="11" t="s">
        <v>1676</v>
      </c>
      <c r="N187" s="11" t="s">
        <v>20</v>
      </c>
      <c r="O187" s="11" t="s">
        <v>1677</v>
      </c>
      <c r="P187" s="11" t="s">
        <v>20</v>
      </c>
      <c r="Q187" s="11" t="s">
        <v>20</v>
      </c>
      <c r="R187" s="11" t="s">
        <v>20</v>
      </c>
      <c r="S187" s="11" t="s">
        <v>20</v>
      </c>
      <c r="T187" s="11" t="s">
        <v>185</v>
      </c>
      <c r="U187" s="11" t="s">
        <v>1678</v>
      </c>
      <c r="V187" s="11" t="s">
        <v>20</v>
      </c>
      <c r="W187" s="11" t="s">
        <v>20</v>
      </c>
      <c r="X187" s="11" t="s">
        <v>1679</v>
      </c>
      <c r="Y187" s="11"/>
      <c r="Z187" s="11"/>
      <c r="AA187" s="11"/>
      <c r="AB187" s="11"/>
      <c r="AC187" s="11"/>
    </row>
    <row r="188">
      <c r="D188" s="11" t="s">
        <v>1680</v>
      </c>
      <c r="E188" s="11" t="s">
        <v>1681</v>
      </c>
      <c r="F188" s="11" t="s">
        <v>1682</v>
      </c>
      <c r="G188" s="14">
        <v>46260.0</v>
      </c>
      <c r="H188" s="11" t="s">
        <v>1683</v>
      </c>
      <c r="I188" s="11" t="s">
        <v>15</v>
      </c>
      <c r="J188" s="11" t="s">
        <v>688</v>
      </c>
      <c r="K188" s="11" t="s">
        <v>1674</v>
      </c>
      <c r="L188" s="11" t="s">
        <v>1667</v>
      </c>
      <c r="M188" s="11" t="s">
        <v>1684</v>
      </c>
      <c r="N188" s="11" t="s">
        <v>20</v>
      </c>
      <c r="O188" s="11" t="s">
        <v>1677</v>
      </c>
      <c r="P188" s="11" t="s">
        <v>20</v>
      </c>
      <c r="Q188" s="11" t="s">
        <v>20</v>
      </c>
      <c r="R188" s="11" t="s">
        <v>20</v>
      </c>
      <c r="S188" s="11" t="s">
        <v>20</v>
      </c>
      <c r="T188" s="11" t="s">
        <v>185</v>
      </c>
      <c r="U188" s="11" t="s">
        <v>1678</v>
      </c>
      <c r="V188" s="11" t="s">
        <v>20</v>
      </c>
      <c r="W188" s="11" t="s">
        <v>20</v>
      </c>
      <c r="X188" s="11" t="s">
        <v>1675</v>
      </c>
      <c r="Y188" s="11"/>
      <c r="Z188" s="11"/>
      <c r="AA188" s="11"/>
      <c r="AB188" s="11"/>
      <c r="AC188" s="11"/>
    </row>
    <row r="189">
      <c r="A189" s="34" t="s">
        <v>1664</v>
      </c>
      <c r="B189" s="34" t="s">
        <v>1685</v>
      </c>
      <c r="C189" s="34" t="s">
        <v>1686</v>
      </c>
    </row>
    <row r="190">
      <c r="A190" s="34" t="s">
        <v>1664</v>
      </c>
      <c r="B190" s="34" t="s">
        <v>1687</v>
      </c>
      <c r="C190" s="34" t="s">
        <v>1688</v>
      </c>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row>
    <row r="191">
      <c r="A191" s="34" t="s">
        <v>1664</v>
      </c>
      <c r="B191" s="34" t="s">
        <v>1689</v>
      </c>
      <c r="C191" s="34" t="s">
        <v>1690</v>
      </c>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row>
    <row r="192">
      <c r="A192" s="34" t="s">
        <v>1664</v>
      </c>
      <c r="B192" s="34" t="s">
        <v>1549</v>
      </c>
      <c r="C192" s="34" t="s">
        <v>1691</v>
      </c>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row>
    <row r="193">
      <c r="A193" s="34" t="s">
        <v>1664</v>
      </c>
      <c r="B193" s="34" t="s">
        <v>1692</v>
      </c>
      <c r="C193" s="34" t="s">
        <v>1693</v>
      </c>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row>
    <row r="194">
      <c r="A194" s="34" t="s">
        <v>1664</v>
      </c>
      <c r="B194" s="34" t="s">
        <v>1647</v>
      </c>
      <c r="C194" s="34" t="s">
        <v>1694</v>
      </c>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row>
    <row r="195">
      <c r="A195" s="34" t="s">
        <v>1664</v>
      </c>
      <c r="B195" s="34" t="s">
        <v>1695</v>
      </c>
      <c r="C195" s="34" t="s">
        <v>1696</v>
      </c>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row>
    <row r="196">
      <c r="A196" s="34" t="s">
        <v>1664</v>
      </c>
      <c r="B196" s="34" t="s">
        <v>1697</v>
      </c>
      <c r="C196" s="34" t="s">
        <v>1698</v>
      </c>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row>
    <row r="197">
      <c r="A197" s="34" t="s">
        <v>1664</v>
      </c>
      <c r="B197" s="34" t="s">
        <v>1699</v>
      </c>
      <c r="C197" s="34" t="s">
        <v>1700</v>
      </c>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row>
    <row r="198">
      <c r="A198" s="34" t="s">
        <v>1664</v>
      </c>
      <c r="B198" s="34" t="s">
        <v>1561</v>
      </c>
      <c r="C198" s="34" t="s">
        <v>1701</v>
      </c>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row>
    <row r="199">
      <c r="A199" s="34" t="s">
        <v>1702</v>
      </c>
      <c r="B199" s="34" t="s">
        <v>1703</v>
      </c>
      <c r="C199" s="34" t="s">
        <v>1704</v>
      </c>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row>
    <row r="200">
      <c r="A200" s="34" t="s">
        <v>1702</v>
      </c>
      <c r="B200" s="34" t="s">
        <v>1705</v>
      </c>
      <c r="C200" s="34" t="s">
        <v>1668</v>
      </c>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row>
    <row r="201">
      <c r="A201" s="34" t="s">
        <v>1702</v>
      </c>
      <c r="B201" s="34" t="s">
        <v>1706</v>
      </c>
      <c r="C201" s="34" t="s">
        <v>1707</v>
      </c>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row>
    <row r="202">
      <c r="A202" s="34" t="s">
        <v>1702</v>
      </c>
      <c r="B202" s="34" t="s">
        <v>1708</v>
      </c>
      <c r="C202" s="34" t="s">
        <v>1709</v>
      </c>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row>
    <row r="203">
      <c r="A203" s="34" t="s">
        <v>1702</v>
      </c>
      <c r="B203" s="34" t="s">
        <v>1710</v>
      </c>
      <c r="C203" s="34" t="s">
        <v>1668</v>
      </c>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row>
    <row r="204">
      <c r="A204" s="34" t="s">
        <v>1711</v>
      </c>
      <c r="B204" s="34" t="s">
        <v>1712</v>
      </c>
      <c r="C204" s="34" t="s">
        <v>1713</v>
      </c>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row>
    <row r="205">
      <c r="A205" s="34" t="s">
        <v>1711</v>
      </c>
      <c r="B205" s="34" t="s">
        <v>1714</v>
      </c>
      <c r="C205" s="34" t="s">
        <v>1715</v>
      </c>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row>
    <row r="206">
      <c r="A206" s="34" t="s">
        <v>1711</v>
      </c>
      <c r="B206" s="34" t="s">
        <v>1716</v>
      </c>
      <c r="C206" s="34" t="s">
        <v>1717</v>
      </c>
      <c r="D206" s="11" t="s">
        <v>1718</v>
      </c>
      <c r="E206" s="11" t="s">
        <v>1719</v>
      </c>
      <c r="F206" s="33">
        <v>4.0E-17</v>
      </c>
      <c r="G206" s="11" t="s">
        <v>1720</v>
      </c>
      <c r="H206" s="11" t="s">
        <v>1721</v>
      </c>
      <c r="I206" s="11" t="s">
        <v>15</v>
      </c>
      <c r="J206" s="11" t="s">
        <v>1722</v>
      </c>
      <c r="K206" s="11" t="s">
        <v>1723</v>
      </c>
      <c r="L206" s="11" t="s">
        <v>1724</v>
      </c>
      <c r="M206" s="11" t="s">
        <v>1725</v>
      </c>
      <c r="N206" s="11" t="s">
        <v>20</v>
      </c>
      <c r="O206" s="11" t="s">
        <v>1726</v>
      </c>
      <c r="P206" s="11" t="s">
        <v>20</v>
      </c>
      <c r="Q206" s="11" t="s">
        <v>20</v>
      </c>
      <c r="R206" s="11" t="s">
        <v>20</v>
      </c>
      <c r="S206" s="11" t="s">
        <v>20</v>
      </c>
      <c r="T206" s="11" t="s">
        <v>1727</v>
      </c>
      <c r="U206" s="11" t="s">
        <v>1728</v>
      </c>
      <c r="V206" s="11" t="s">
        <v>20</v>
      </c>
      <c r="W206" s="11" t="s">
        <v>20</v>
      </c>
      <c r="X206" s="11" t="s">
        <v>1729</v>
      </c>
      <c r="Y206" s="11"/>
      <c r="Z206" s="11"/>
      <c r="AA206" s="11"/>
      <c r="AB206" s="11"/>
      <c r="AC206" s="11"/>
    </row>
    <row r="207">
      <c r="A207" s="34" t="s">
        <v>1711</v>
      </c>
      <c r="B207" s="34" t="s">
        <v>1730</v>
      </c>
      <c r="C207" s="34" t="s">
        <v>1731</v>
      </c>
      <c r="D207" s="11" t="s">
        <v>1732</v>
      </c>
      <c r="E207" s="11" t="s">
        <v>1733</v>
      </c>
      <c r="F207" s="11" t="s">
        <v>1734</v>
      </c>
      <c r="G207" s="11" t="s">
        <v>1735</v>
      </c>
      <c r="H207" s="11" t="s">
        <v>1736</v>
      </c>
      <c r="I207" s="11" t="s">
        <v>15</v>
      </c>
      <c r="J207" s="11" t="s">
        <v>1722</v>
      </c>
      <c r="K207" s="11" t="s">
        <v>1737</v>
      </c>
      <c r="L207" s="11" t="s">
        <v>1738</v>
      </c>
      <c r="M207" s="11" t="s">
        <v>1739</v>
      </c>
      <c r="N207" s="11" t="s">
        <v>20</v>
      </c>
      <c r="O207" s="11" t="s">
        <v>1740</v>
      </c>
      <c r="P207" s="11" t="s">
        <v>20</v>
      </c>
      <c r="Q207" s="11" t="s">
        <v>20</v>
      </c>
      <c r="R207" s="11" t="s">
        <v>20</v>
      </c>
      <c r="S207" s="11" t="s">
        <v>20</v>
      </c>
      <c r="T207" s="11" t="s">
        <v>1727</v>
      </c>
      <c r="U207" s="11" t="s">
        <v>1728</v>
      </c>
      <c r="V207" s="11" t="s">
        <v>20</v>
      </c>
      <c r="W207" s="11" t="s">
        <v>20</v>
      </c>
      <c r="X207" s="11" t="s">
        <v>1729</v>
      </c>
      <c r="Y207" s="11"/>
      <c r="Z207" s="11"/>
      <c r="AA207" s="11"/>
      <c r="AB207" s="11"/>
      <c r="AC207" s="11"/>
    </row>
    <row r="208">
      <c r="A208" s="34"/>
      <c r="B208" s="34"/>
      <c r="C208" s="34"/>
      <c r="D208" s="11" t="s">
        <v>1741</v>
      </c>
      <c r="E208" s="11" t="s">
        <v>1742</v>
      </c>
      <c r="F208" s="11" t="s">
        <v>1743</v>
      </c>
      <c r="G208" s="11" t="s">
        <v>1744</v>
      </c>
      <c r="H208" s="11" t="s">
        <v>1745</v>
      </c>
      <c r="I208" s="11" t="s">
        <v>15</v>
      </c>
      <c r="J208" s="11" t="s">
        <v>1722</v>
      </c>
      <c r="K208" s="11" t="s">
        <v>1746</v>
      </c>
      <c r="L208" s="11" t="s">
        <v>1747</v>
      </c>
      <c r="M208" s="11" t="s">
        <v>1748</v>
      </c>
      <c r="N208" s="11" t="s">
        <v>20</v>
      </c>
      <c r="O208" s="11" t="s">
        <v>1749</v>
      </c>
      <c r="P208" s="11" t="s">
        <v>20</v>
      </c>
      <c r="Q208" s="11" t="s">
        <v>20</v>
      </c>
      <c r="R208" s="11" t="s">
        <v>20</v>
      </c>
      <c r="S208" s="11" t="s">
        <v>20</v>
      </c>
      <c r="T208" s="11" t="s">
        <v>1727</v>
      </c>
      <c r="U208" s="11" t="s">
        <v>20</v>
      </c>
      <c r="V208" s="11" t="s">
        <v>20</v>
      </c>
      <c r="W208" s="11" t="s">
        <v>20</v>
      </c>
      <c r="X208" s="11" t="s">
        <v>1729</v>
      </c>
      <c r="Y208" s="11"/>
      <c r="Z208" s="11"/>
      <c r="AA208" s="11"/>
      <c r="AB208" s="11"/>
      <c r="AC208" s="11"/>
    </row>
    <row r="209">
      <c r="A209" s="34" t="s">
        <v>1711</v>
      </c>
      <c r="B209" s="34" t="s">
        <v>1750</v>
      </c>
      <c r="C209" s="34" t="s">
        <v>1751</v>
      </c>
      <c r="D209" s="11" t="s">
        <v>1752</v>
      </c>
      <c r="E209" s="11" t="s">
        <v>1753</v>
      </c>
      <c r="F209" s="11" t="s">
        <v>1754</v>
      </c>
      <c r="G209" s="11" t="s">
        <v>1755</v>
      </c>
      <c r="H209" s="11" t="s">
        <v>1756</v>
      </c>
      <c r="I209" s="11" t="s">
        <v>15</v>
      </c>
      <c r="J209" s="11" t="s">
        <v>1722</v>
      </c>
      <c r="K209" s="11" t="s">
        <v>1757</v>
      </c>
      <c r="L209" s="11" t="s">
        <v>1758</v>
      </c>
      <c r="M209" s="11" t="s">
        <v>1759</v>
      </c>
      <c r="N209" s="11" t="s">
        <v>20</v>
      </c>
      <c r="O209" s="11" t="s">
        <v>1760</v>
      </c>
      <c r="P209" s="11" t="s">
        <v>20</v>
      </c>
      <c r="Q209" s="11" t="s">
        <v>20</v>
      </c>
      <c r="R209" s="11" t="s">
        <v>20</v>
      </c>
      <c r="S209" s="11" t="s">
        <v>20</v>
      </c>
      <c r="T209" s="11" t="s">
        <v>1727</v>
      </c>
      <c r="U209" s="11" t="s">
        <v>1728</v>
      </c>
      <c r="V209" s="11" t="s">
        <v>20</v>
      </c>
      <c r="W209" s="11" t="s">
        <v>20</v>
      </c>
      <c r="X209" s="11" t="s">
        <v>1761</v>
      </c>
      <c r="Y209" s="11"/>
      <c r="Z209" s="11"/>
      <c r="AA209" s="11"/>
      <c r="AB209" s="11"/>
      <c r="AC209" s="11"/>
    </row>
    <row r="210">
      <c r="A210" s="34" t="s">
        <v>1711</v>
      </c>
      <c r="B210" s="34" t="s">
        <v>1762</v>
      </c>
      <c r="C210" s="34" t="s">
        <v>1763</v>
      </c>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row>
    <row r="211">
      <c r="A211" s="34" t="s">
        <v>1711</v>
      </c>
      <c r="B211" s="34" t="s">
        <v>1764</v>
      </c>
      <c r="C211" s="34" t="s">
        <v>1765</v>
      </c>
      <c r="D211" s="11" t="s">
        <v>1766</v>
      </c>
      <c r="E211" s="11" t="s">
        <v>1767</v>
      </c>
      <c r="F211" s="11" t="s">
        <v>1768</v>
      </c>
      <c r="G211" s="11" t="s">
        <v>1769</v>
      </c>
      <c r="H211" s="11" t="s">
        <v>1770</v>
      </c>
      <c r="I211" s="11" t="s">
        <v>15</v>
      </c>
      <c r="J211" s="11" t="s">
        <v>1722</v>
      </c>
      <c r="K211" s="11" t="s">
        <v>1771</v>
      </c>
      <c r="L211" s="11" t="s">
        <v>1772</v>
      </c>
      <c r="M211" s="11" t="s">
        <v>1773</v>
      </c>
      <c r="N211" s="11" t="s">
        <v>20</v>
      </c>
      <c r="O211" s="11" t="s">
        <v>1774</v>
      </c>
      <c r="P211" s="11" t="s">
        <v>20</v>
      </c>
      <c r="Q211" s="11" t="s">
        <v>20</v>
      </c>
      <c r="R211" s="11" t="s">
        <v>20</v>
      </c>
      <c r="S211" s="11" t="s">
        <v>20</v>
      </c>
      <c r="T211" s="11" t="s">
        <v>1727</v>
      </c>
      <c r="U211" s="11" t="s">
        <v>1728</v>
      </c>
      <c r="V211" s="11" t="s">
        <v>20</v>
      </c>
      <c r="W211" s="11" t="s">
        <v>20</v>
      </c>
      <c r="X211" s="11" t="s">
        <v>1775</v>
      </c>
      <c r="Y211" s="11"/>
      <c r="Z211" s="11"/>
      <c r="AA211" s="11"/>
      <c r="AB211" s="11"/>
      <c r="AC211" s="11"/>
    </row>
    <row r="212">
      <c r="A212" s="34" t="s">
        <v>1711</v>
      </c>
      <c r="B212" s="34" t="s">
        <v>1776</v>
      </c>
      <c r="C212" s="34" t="s">
        <v>1777</v>
      </c>
      <c r="D212" s="11" t="s">
        <v>1778</v>
      </c>
      <c r="E212" s="11" t="s">
        <v>1779</v>
      </c>
      <c r="F212" s="11" t="s">
        <v>1780</v>
      </c>
      <c r="G212" s="11" t="s">
        <v>1781</v>
      </c>
      <c r="H212" s="11" t="s">
        <v>1782</v>
      </c>
      <c r="I212" s="11" t="s">
        <v>15</v>
      </c>
      <c r="J212" s="11" t="s">
        <v>1722</v>
      </c>
      <c r="K212" s="11" t="s">
        <v>1783</v>
      </c>
      <c r="L212" s="11" t="s">
        <v>1784</v>
      </c>
      <c r="M212" s="11" t="s">
        <v>1785</v>
      </c>
      <c r="N212" s="11" t="s">
        <v>20</v>
      </c>
      <c r="O212" s="11" t="s">
        <v>1786</v>
      </c>
      <c r="P212" s="11" t="s">
        <v>20</v>
      </c>
      <c r="Q212" s="11" t="s">
        <v>20</v>
      </c>
      <c r="R212" s="11" t="s">
        <v>20</v>
      </c>
      <c r="S212" s="11" t="s">
        <v>20</v>
      </c>
      <c r="T212" s="11" t="s">
        <v>1727</v>
      </c>
      <c r="U212" s="11" t="s">
        <v>1728</v>
      </c>
      <c r="V212" s="11" t="s">
        <v>20</v>
      </c>
      <c r="W212" s="11" t="s">
        <v>20</v>
      </c>
      <c r="X212" s="11" t="s">
        <v>1729</v>
      </c>
      <c r="Y212" s="11"/>
      <c r="Z212" s="11"/>
      <c r="AA212" s="11"/>
      <c r="AB212" s="11"/>
      <c r="AC212" s="11"/>
    </row>
    <row r="213">
      <c r="A213" s="34" t="s">
        <v>1711</v>
      </c>
      <c r="B213" s="34" t="s">
        <v>1787</v>
      </c>
      <c r="C213" s="34" t="s">
        <v>1777</v>
      </c>
      <c r="D213" s="11" t="s">
        <v>1788</v>
      </c>
      <c r="E213" s="11" t="s">
        <v>1789</v>
      </c>
      <c r="F213" s="11" t="s">
        <v>1790</v>
      </c>
      <c r="G213" s="11" t="s">
        <v>54</v>
      </c>
      <c r="H213" s="11" t="s">
        <v>1791</v>
      </c>
      <c r="I213" s="11" t="s">
        <v>15</v>
      </c>
      <c r="J213" s="11" t="s">
        <v>1722</v>
      </c>
      <c r="K213" s="11" t="s">
        <v>1792</v>
      </c>
      <c r="L213" s="11" t="s">
        <v>1793</v>
      </c>
      <c r="M213" s="11" t="s">
        <v>1794</v>
      </c>
      <c r="N213" s="11" t="s">
        <v>20</v>
      </c>
      <c r="O213" s="11" t="s">
        <v>1795</v>
      </c>
      <c r="P213" s="11" t="s">
        <v>20</v>
      </c>
      <c r="Q213" s="11" t="s">
        <v>20</v>
      </c>
      <c r="R213" s="11" t="s">
        <v>20</v>
      </c>
      <c r="S213" s="11" t="s">
        <v>20</v>
      </c>
      <c r="T213" s="11" t="s">
        <v>1796</v>
      </c>
      <c r="U213" s="11" t="s">
        <v>1728</v>
      </c>
      <c r="V213" s="11" t="s">
        <v>20</v>
      </c>
      <c r="W213" s="11" t="s">
        <v>20</v>
      </c>
      <c r="X213" s="11" t="s">
        <v>1761</v>
      </c>
      <c r="Y213" s="11"/>
      <c r="Z213" s="11"/>
      <c r="AA213" s="11"/>
      <c r="AB213" s="11"/>
      <c r="AC213" s="11"/>
    </row>
    <row r="214">
      <c r="A214" s="34" t="s">
        <v>1711</v>
      </c>
      <c r="B214" s="34" t="s">
        <v>1797</v>
      </c>
      <c r="C214" s="34" t="s">
        <v>1777</v>
      </c>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row>
    <row r="215">
      <c r="A215" s="34" t="s">
        <v>1711</v>
      </c>
      <c r="B215" s="34" t="s">
        <v>1798</v>
      </c>
      <c r="C215" s="34" t="s">
        <v>1777</v>
      </c>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row>
    <row r="216">
      <c r="A216" s="34" t="s">
        <v>1711</v>
      </c>
      <c r="B216" s="34" t="s">
        <v>1799</v>
      </c>
      <c r="C216" s="34" t="s">
        <v>1777</v>
      </c>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row>
    <row r="217">
      <c r="A217" s="34" t="s">
        <v>1711</v>
      </c>
      <c r="B217" s="34" t="s">
        <v>1800</v>
      </c>
      <c r="C217" s="34" t="s">
        <v>1777</v>
      </c>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row>
    <row r="218">
      <c r="A218" s="34" t="s">
        <v>1711</v>
      </c>
      <c r="B218" s="34" t="s">
        <v>1801</v>
      </c>
      <c r="C218" s="34" t="s">
        <v>1802</v>
      </c>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row>
    <row r="219">
      <c r="A219" s="34" t="s">
        <v>1711</v>
      </c>
      <c r="B219" s="34" t="s">
        <v>1803</v>
      </c>
      <c r="C219" s="34" t="s">
        <v>1715</v>
      </c>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row>
    <row r="220">
      <c r="A220" s="34" t="s">
        <v>1711</v>
      </c>
      <c r="B220" s="34" t="s">
        <v>1804</v>
      </c>
      <c r="C220" s="34" t="s">
        <v>1805</v>
      </c>
      <c r="D220" s="11" t="s">
        <v>1806</v>
      </c>
      <c r="E220" s="11" t="s">
        <v>1807</v>
      </c>
      <c r="F220" s="11" t="s">
        <v>1808</v>
      </c>
      <c r="G220" s="11" t="s">
        <v>1809</v>
      </c>
      <c r="H220" s="11" t="s">
        <v>1810</v>
      </c>
      <c r="I220" s="11" t="s">
        <v>15</v>
      </c>
      <c r="J220" s="11" t="s">
        <v>1722</v>
      </c>
      <c r="K220" s="11" t="s">
        <v>1811</v>
      </c>
      <c r="L220" s="11" t="s">
        <v>1812</v>
      </c>
      <c r="M220" s="11" t="s">
        <v>1813</v>
      </c>
      <c r="N220" s="11" t="s">
        <v>20</v>
      </c>
      <c r="O220" s="11" t="s">
        <v>1814</v>
      </c>
      <c r="P220" s="11" t="s">
        <v>20</v>
      </c>
      <c r="Q220" s="11" t="s">
        <v>20</v>
      </c>
      <c r="R220" s="11" t="s">
        <v>20</v>
      </c>
      <c r="S220" s="11" t="s">
        <v>20</v>
      </c>
      <c r="T220" s="11" t="s">
        <v>185</v>
      </c>
      <c r="U220" s="11" t="s">
        <v>20</v>
      </c>
      <c r="V220" s="11" t="s">
        <v>20</v>
      </c>
      <c r="W220" s="11" t="s">
        <v>20</v>
      </c>
      <c r="X220" s="11" t="s">
        <v>1815</v>
      </c>
      <c r="Y220" s="11"/>
      <c r="Z220" s="11"/>
      <c r="AA220" s="11"/>
      <c r="AB220" s="11"/>
      <c r="AC220" s="11"/>
    </row>
    <row r="221">
      <c r="A221" s="34" t="s">
        <v>1711</v>
      </c>
      <c r="B221" s="34" t="s">
        <v>1816</v>
      </c>
      <c r="C221" s="34" t="s">
        <v>1817</v>
      </c>
      <c r="D221" s="11" t="s">
        <v>1818</v>
      </c>
      <c r="E221" s="11" t="s">
        <v>1819</v>
      </c>
      <c r="F221" s="11" t="s">
        <v>1820</v>
      </c>
      <c r="G221" s="11" t="s">
        <v>1821</v>
      </c>
      <c r="H221" s="11" t="s">
        <v>1822</v>
      </c>
      <c r="I221" s="11" t="s">
        <v>15</v>
      </c>
      <c r="J221" s="11" t="s">
        <v>1823</v>
      </c>
      <c r="K221" s="11" t="s">
        <v>1824</v>
      </c>
      <c r="L221" s="11" t="s">
        <v>1825</v>
      </c>
      <c r="M221" s="11" t="s">
        <v>1826</v>
      </c>
      <c r="N221" s="11" t="s">
        <v>20</v>
      </c>
      <c r="O221" s="11" t="s">
        <v>1814</v>
      </c>
      <c r="P221" s="11" t="s">
        <v>20</v>
      </c>
      <c r="Q221" s="11" t="s">
        <v>20</v>
      </c>
      <c r="R221" s="11" t="s">
        <v>20</v>
      </c>
      <c r="S221" s="11" t="s">
        <v>20</v>
      </c>
      <c r="T221" s="11" t="s">
        <v>185</v>
      </c>
      <c r="U221" s="11" t="s">
        <v>20</v>
      </c>
      <c r="V221" s="11" t="s">
        <v>20</v>
      </c>
      <c r="W221" s="11" t="s">
        <v>20</v>
      </c>
      <c r="X221" s="11" t="s">
        <v>1815</v>
      </c>
      <c r="Y221" s="11"/>
      <c r="Z221" s="11"/>
      <c r="AA221" s="11"/>
      <c r="AB221" s="11"/>
      <c r="AC221" s="11"/>
    </row>
    <row r="222">
      <c r="A222" s="34" t="s">
        <v>1711</v>
      </c>
      <c r="B222" s="34" t="s">
        <v>1827</v>
      </c>
      <c r="C222" s="34" t="s">
        <v>1817</v>
      </c>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row>
    <row r="223">
      <c r="A223" s="34" t="s">
        <v>1711</v>
      </c>
      <c r="B223" s="34" t="s">
        <v>1828</v>
      </c>
      <c r="C223" s="34" t="s">
        <v>1713</v>
      </c>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row>
    <row r="224">
      <c r="A224" s="34" t="s">
        <v>1711</v>
      </c>
      <c r="B224" s="34" t="s">
        <v>1829</v>
      </c>
      <c r="C224" s="34" t="s">
        <v>1713</v>
      </c>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row>
    <row r="225">
      <c r="A225" s="34" t="s">
        <v>1830</v>
      </c>
      <c r="B225" s="34" t="s">
        <v>1831</v>
      </c>
      <c r="C225" s="34" t="s">
        <v>1832</v>
      </c>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row>
    <row r="226">
      <c r="A226" s="34" t="s">
        <v>1830</v>
      </c>
      <c r="B226" s="34" t="s">
        <v>1833</v>
      </c>
      <c r="C226" s="34" t="s">
        <v>1834</v>
      </c>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row>
    <row r="227">
      <c r="A227" s="34" t="s">
        <v>1830</v>
      </c>
      <c r="B227" s="34" t="s">
        <v>1835</v>
      </c>
      <c r="C227" s="34" t="s">
        <v>1836</v>
      </c>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row>
    <row r="228">
      <c r="A228" s="34" t="s">
        <v>1830</v>
      </c>
      <c r="B228" s="34" t="s">
        <v>1837</v>
      </c>
      <c r="C228" s="34" t="s">
        <v>1838</v>
      </c>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row>
    <row r="229">
      <c r="A229" s="34" t="s">
        <v>1830</v>
      </c>
      <c r="B229" s="34" t="s">
        <v>1839</v>
      </c>
      <c r="C229" s="34" t="s">
        <v>1840</v>
      </c>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row>
    <row r="230">
      <c r="A230" s="34" t="s">
        <v>1830</v>
      </c>
      <c r="B230" s="34" t="s">
        <v>1841</v>
      </c>
      <c r="C230" s="34" t="s">
        <v>1842</v>
      </c>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row>
    <row r="231">
      <c r="A231" s="34" t="s">
        <v>1843</v>
      </c>
      <c r="B231" s="34" t="s">
        <v>1844</v>
      </c>
      <c r="C231" s="34" t="s">
        <v>1845</v>
      </c>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row>
    <row r="232">
      <c r="A232" s="34" t="s">
        <v>1843</v>
      </c>
      <c r="B232" s="34" t="s">
        <v>1846</v>
      </c>
      <c r="C232" s="34" t="s">
        <v>1847</v>
      </c>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row>
    <row r="233">
      <c r="A233" s="34" t="s">
        <v>1848</v>
      </c>
      <c r="B233" s="34" t="s">
        <v>1849</v>
      </c>
      <c r="C233" s="34" t="s">
        <v>1850</v>
      </c>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row>
    <row r="234">
      <c r="A234" s="34" t="s">
        <v>1848</v>
      </c>
      <c r="B234" s="34" t="s">
        <v>1851</v>
      </c>
      <c r="C234" s="34" t="s">
        <v>1852</v>
      </c>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row>
    <row r="235">
      <c r="A235" s="34" t="s">
        <v>1848</v>
      </c>
      <c r="B235" s="34" t="s">
        <v>1853</v>
      </c>
      <c r="C235" s="34" t="s">
        <v>1854</v>
      </c>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row>
    <row r="236">
      <c r="A236" s="34" t="s">
        <v>1848</v>
      </c>
      <c r="B236" s="34" t="s">
        <v>1855</v>
      </c>
      <c r="C236" s="34" t="s">
        <v>1856</v>
      </c>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row>
    <row r="237">
      <c r="A237" s="34" t="s">
        <v>1848</v>
      </c>
      <c r="B237" s="34" t="s">
        <v>1857</v>
      </c>
      <c r="C237" s="34" t="s">
        <v>1858</v>
      </c>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row>
    <row r="238">
      <c r="A238" s="34" t="s">
        <v>1848</v>
      </c>
      <c r="B238" s="34" t="s">
        <v>1859</v>
      </c>
      <c r="C238" s="34" t="s">
        <v>1860</v>
      </c>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row>
    <row r="239">
      <c r="A239" s="34" t="s">
        <v>1848</v>
      </c>
      <c r="B239" s="34" t="s">
        <v>1861</v>
      </c>
      <c r="C239" s="34" t="s">
        <v>1862</v>
      </c>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row>
    <row r="240">
      <c r="A240" s="34" t="s">
        <v>1848</v>
      </c>
      <c r="B240" s="34" t="s">
        <v>1863</v>
      </c>
      <c r="C240" s="34" t="s">
        <v>1864</v>
      </c>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row>
    <row r="241">
      <c r="A241" s="34" t="s">
        <v>1848</v>
      </c>
      <c r="B241" s="34" t="s">
        <v>1865</v>
      </c>
      <c r="C241" s="34" t="s">
        <v>1866</v>
      </c>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row>
    <row r="242">
      <c r="A242" s="34" t="s">
        <v>1848</v>
      </c>
      <c r="B242" s="34" t="s">
        <v>1867</v>
      </c>
      <c r="C242" s="34" t="s">
        <v>1868</v>
      </c>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row>
    <row r="243">
      <c r="A243" s="34" t="s">
        <v>1848</v>
      </c>
      <c r="B243" s="34" t="s">
        <v>1869</v>
      </c>
      <c r="C243" s="34" t="s">
        <v>1870</v>
      </c>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row>
    <row r="244">
      <c r="A244" s="34" t="s">
        <v>1848</v>
      </c>
      <c r="B244" s="34" t="s">
        <v>1871</v>
      </c>
      <c r="C244" s="34" t="s">
        <v>1850</v>
      </c>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row>
    <row r="245">
      <c r="A245" s="34" t="s">
        <v>1848</v>
      </c>
      <c r="B245" s="34" t="s">
        <v>1872</v>
      </c>
      <c r="C245" s="34" t="s">
        <v>1850</v>
      </c>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row>
    <row r="246">
      <c r="A246" s="34" t="s">
        <v>1848</v>
      </c>
      <c r="B246" s="34" t="s">
        <v>1873</v>
      </c>
      <c r="C246" s="34" t="s">
        <v>1874</v>
      </c>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row>
    <row r="247">
      <c r="A247" s="34" t="s">
        <v>1848</v>
      </c>
      <c r="B247" s="34" t="s">
        <v>1875</v>
      </c>
      <c r="C247" s="34" t="s">
        <v>1876</v>
      </c>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row>
    <row r="248">
      <c r="A248" s="34" t="s">
        <v>1848</v>
      </c>
      <c r="B248" s="34" t="s">
        <v>1877</v>
      </c>
      <c r="C248" s="34" t="s">
        <v>1878</v>
      </c>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row>
    <row r="249">
      <c r="A249" s="34" t="s">
        <v>1848</v>
      </c>
      <c r="B249" s="34" t="s">
        <v>1879</v>
      </c>
      <c r="C249" s="34" t="s">
        <v>1880</v>
      </c>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row>
    <row r="250">
      <c r="A250" s="34" t="s">
        <v>1848</v>
      </c>
      <c r="B250" s="34" t="s">
        <v>1881</v>
      </c>
      <c r="C250" s="34" t="s">
        <v>1882</v>
      </c>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row>
    <row r="251">
      <c r="A251" s="34" t="s">
        <v>1848</v>
      </c>
      <c r="B251" s="34" t="s">
        <v>1883</v>
      </c>
      <c r="C251" s="34" t="s">
        <v>1852</v>
      </c>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row>
    <row r="252">
      <c r="A252" s="34" t="s">
        <v>1848</v>
      </c>
      <c r="B252" s="34" t="s">
        <v>1884</v>
      </c>
      <c r="C252" s="34" t="s">
        <v>1868</v>
      </c>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c r="AB383" s="19"/>
      <c r="AC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c r="AB384" s="19"/>
      <c r="AC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c r="AB385" s="19"/>
      <c r="AC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c r="AB386" s="19"/>
      <c r="AC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c r="AB387" s="19"/>
      <c r="AC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c r="AB388" s="19"/>
      <c r="AC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c r="AB389" s="19"/>
      <c r="AC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c r="AB390" s="19"/>
      <c r="AC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c r="AC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c r="AB392" s="19"/>
      <c r="AC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c r="AB393" s="19"/>
      <c r="AC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c r="AB394" s="19"/>
      <c r="AC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c r="AB395" s="19"/>
      <c r="AC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c r="AC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c r="AB456" s="19"/>
      <c r="AC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c r="AB458" s="19"/>
      <c r="AC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c r="AB459" s="19"/>
      <c r="AC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c r="AC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c r="AB461" s="19"/>
      <c r="AC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c r="AB462" s="19"/>
      <c r="AC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c r="AB463" s="19"/>
      <c r="AC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c r="AB465" s="19"/>
      <c r="AC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c r="AC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c r="AB467" s="19"/>
      <c r="AC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c r="AB469" s="19"/>
      <c r="AC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c r="AB470" s="19"/>
      <c r="AC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c r="AB471" s="19"/>
      <c r="AC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c r="AB472" s="19"/>
      <c r="AC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c r="AB473" s="19"/>
      <c r="AC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c r="AC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c r="AB475" s="19"/>
      <c r="AC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c r="AB476" s="19"/>
      <c r="AC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c r="AB477" s="19"/>
      <c r="AC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c r="AB478" s="19"/>
      <c r="AC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c r="AB479" s="19"/>
      <c r="AC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c r="AB480" s="19"/>
      <c r="AC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c r="AB481" s="19"/>
      <c r="AC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c r="AB482" s="19"/>
      <c r="AC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c r="AB483" s="19"/>
      <c r="AC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c r="AB484" s="19"/>
      <c r="AC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c r="AB485" s="19"/>
      <c r="AC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c r="AB486" s="19"/>
      <c r="AC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c r="AB487" s="19"/>
      <c r="AC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c r="AB488" s="19"/>
      <c r="AC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c r="AB489" s="19"/>
      <c r="AC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c r="AC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c r="AB491" s="19"/>
      <c r="AC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c r="AB492" s="19"/>
      <c r="AC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c r="AB493" s="19"/>
      <c r="AC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c r="AB494" s="19"/>
      <c r="AC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c r="AB495" s="19"/>
      <c r="AC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c r="AC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c r="AB497" s="19"/>
      <c r="AC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c r="AB498" s="19"/>
      <c r="AC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c r="AB500" s="19"/>
      <c r="AC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c r="AB501" s="19"/>
      <c r="AC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c r="AB502" s="19"/>
      <c r="AC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c r="AC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c r="AB504" s="19"/>
      <c r="AC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c r="AB505" s="19"/>
      <c r="AC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c r="AB506" s="19"/>
      <c r="AC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c r="AB507" s="19"/>
      <c r="AC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c r="AB508" s="19"/>
      <c r="AC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c r="AB511" s="19"/>
      <c r="AC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c r="AB512" s="19"/>
      <c r="AC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c r="AB513" s="19"/>
      <c r="AC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c r="AB514" s="19"/>
      <c r="AC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c r="AC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c r="AB517" s="19"/>
      <c r="AC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c r="AB518" s="19"/>
      <c r="AC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c r="AB519" s="19"/>
      <c r="AC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c r="AB520" s="19"/>
      <c r="AC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c r="AB521" s="19"/>
      <c r="AC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c r="AB522" s="19"/>
      <c r="AC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c r="AB523" s="19"/>
      <c r="AC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c r="AB524" s="19"/>
      <c r="AC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c r="AB525" s="19"/>
      <c r="AC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c r="AB526" s="19"/>
      <c r="AC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c r="AB527" s="19"/>
      <c r="AC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c r="AB528" s="19"/>
      <c r="AC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c r="AB529" s="19"/>
      <c r="AC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c r="AB530" s="19"/>
      <c r="AC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c r="AB531" s="19"/>
      <c r="AC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c r="AC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c r="AB533" s="19"/>
      <c r="AC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c r="AB534" s="19"/>
      <c r="AC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c r="AB535" s="19"/>
      <c r="AC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c r="AB536" s="19"/>
      <c r="AC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c r="AB537" s="19"/>
      <c r="AC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c r="AB538" s="19"/>
      <c r="AC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c r="AB539" s="19"/>
      <c r="AC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c r="AB540" s="19"/>
      <c r="AC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c r="AB541" s="19"/>
      <c r="AC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c r="AB542" s="19"/>
      <c r="AC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c r="AC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c r="AB544" s="19"/>
      <c r="AC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c r="AB545" s="19"/>
      <c r="AC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c r="AB546" s="19"/>
      <c r="AC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c r="AB547" s="19"/>
      <c r="AC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c r="AB548" s="19"/>
      <c r="AC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c r="AB549" s="19"/>
      <c r="AC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c r="AB550" s="19"/>
      <c r="AC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c r="AB551" s="19"/>
      <c r="AC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c r="AC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c r="AB553" s="19"/>
      <c r="AC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c r="AB554" s="19"/>
      <c r="AC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c r="AB555" s="19"/>
      <c r="AC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c r="AB556" s="19"/>
      <c r="AC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c r="AB557" s="19"/>
      <c r="AC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c r="AB558" s="19"/>
      <c r="AC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c r="AB560" s="19"/>
      <c r="AC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c r="AB561" s="19"/>
      <c r="AC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c r="AB562" s="19"/>
      <c r="AC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c r="AB563" s="19"/>
      <c r="AC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c r="AB564" s="19"/>
      <c r="AC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c r="AB565" s="19"/>
      <c r="AC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c r="AB566" s="19"/>
      <c r="AC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c r="AB568" s="19"/>
      <c r="AC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c r="AB569" s="19"/>
      <c r="AC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c r="AB570" s="19"/>
      <c r="AC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c r="AB571" s="19"/>
      <c r="AC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c r="AB572" s="19"/>
      <c r="AC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c r="AB573" s="19"/>
      <c r="AC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c r="AB574" s="19"/>
      <c r="AC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c r="AB575" s="19"/>
      <c r="AC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c r="AB577" s="19"/>
      <c r="AC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c r="AB578" s="19"/>
      <c r="AC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c r="AB579" s="19"/>
      <c r="AC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c r="AB580" s="19"/>
      <c r="AC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c r="AB581" s="19"/>
      <c r="AC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c r="AB582" s="19"/>
      <c r="AC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c r="AB584" s="19"/>
      <c r="AC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c r="AB585" s="19"/>
      <c r="AC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c r="AB586" s="19"/>
      <c r="AC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c r="AC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c r="AB588" s="19"/>
      <c r="AC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c r="AB589" s="19"/>
      <c r="AC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c r="AB590" s="19"/>
      <c r="AC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c r="AB591" s="19"/>
      <c r="AC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c r="AB592" s="19"/>
      <c r="AC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c r="AC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c r="AB595" s="19"/>
      <c r="AC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c r="AB596" s="19"/>
      <c r="AC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c r="AB597" s="19"/>
      <c r="AC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c r="AB598" s="19"/>
      <c r="AC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c r="AB600" s="19"/>
      <c r="AC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c r="AB601" s="19"/>
      <c r="AC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c r="AB602" s="19"/>
      <c r="AC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c r="AB604" s="19"/>
      <c r="AC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c r="AB605" s="19"/>
      <c r="AC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c r="AB606" s="19"/>
      <c r="AC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c r="AB608" s="19"/>
      <c r="AC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c r="AB609" s="19"/>
      <c r="AC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c r="AB611" s="19"/>
      <c r="AC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c r="AB612" s="19"/>
      <c r="AC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c r="AB614" s="19"/>
      <c r="AC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c r="AB615" s="19"/>
      <c r="AC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c r="AB616" s="19"/>
      <c r="AC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c r="AB617" s="19"/>
      <c r="AC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c r="AB618" s="19"/>
      <c r="AC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c r="AC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c r="AB621" s="19"/>
      <c r="AC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c r="AB622" s="19"/>
      <c r="AC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c r="AB623" s="19"/>
      <c r="AC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c r="AC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c r="AB626" s="19"/>
      <c r="AC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c r="AB627" s="19"/>
      <c r="AC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c r="AB628" s="19"/>
      <c r="AC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c r="AB629" s="19"/>
      <c r="AC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c r="AB630" s="19"/>
      <c r="AC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c r="AB631" s="19"/>
      <c r="AC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c r="AB632" s="19"/>
      <c r="AC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c r="AB633" s="19"/>
      <c r="AC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c r="AB634" s="19"/>
      <c r="AC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c r="AB635" s="19"/>
      <c r="AC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c r="AC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c r="AB637" s="19"/>
      <c r="AC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c r="AB638" s="19"/>
      <c r="AC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c r="AB639" s="19"/>
      <c r="AC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c r="AB640" s="19"/>
      <c r="AC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c r="AB641" s="19"/>
      <c r="AC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c r="AB642" s="19"/>
      <c r="AC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c r="AB643" s="19"/>
      <c r="AC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c r="AB644" s="19"/>
      <c r="AC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c r="AB645" s="19"/>
      <c r="AC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c r="AB646" s="19"/>
      <c r="AC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c r="AB647" s="19"/>
      <c r="AC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c r="AB648" s="19"/>
      <c r="AC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c r="AB649" s="19"/>
      <c r="AC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c r="AB650" s="19"/>
      <c r="AC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c r="AB651" s="19"/>
      <c r="AC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c r="AB652" s="19"/>
      <c r="AC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c r="AB653" s="19"/>
      <c r="AC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c r="AB654" s="19"/>
      <c r="AC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c r="AB655" s="19"/>
      <c r="AC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c r="AB656" s="19"/>
      <c r="AC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c r="AC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c r="AB658" s="19"/>
      <c r="AC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c r="AB659" s="19"/>
      <c r="AC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c r="AB660" s="19"/>
      <c r="AC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c r="AC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c r="AB662" s="19"/>
      <c r="AC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c r="AB663" s="19"/>
      <c r="AC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c r="AB664" s="19"/>
      <c r="AC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c r="AB665" s="19"/>
      <c r="AC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c r="AB666" s="19"/>
      <c r="AC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c r="AB667" s="19"/>
      <c r="AC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c r="AB668" s="19"/>
      <c r="AC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c r="AB669" s="19"/>
      <c r="AC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c r="AC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c r="AB671" s="19"/>
      <c r="AC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c r="AB672" s="19"/>
      <c r="AC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c r="AB673" s="19"/>
      <c r="AC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c r="AB674" s="19"/>
      <c r="AC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c r="AB675" s="19"/>
      <c r="AC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c r="AB676" s="19"/>
      <c r="AC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c r="AC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c r="AB678" s="19"/>
      <c r="AC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c r="AB679" s="19"/>
      <c r="AC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c r="AB680" s="19"/>
      <c r="AC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c r="AB681" s="19"/>
      <c r="AC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c r="AB682" s="19"/>
      <c r="AC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c r="AB683" s="19"/>
      <c r="AC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c r="AB684" s="19"/>
      <c r="AC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c r="AB685" s="19"/>
      <c r="AC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c r="AB686" s="19"/>
      <c r="AC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c r="AB687" s="19"/>
      <c r="AC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c r="AB688" s="19"/>
      <c r="AC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c r="AB689" s="19"/>
      <c r="AC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c r="AB690" s="19"/>
      <c r="AC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c r="AB691" s="19"/>
      <c r="AC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c r="AB692" s="19"/>
      <c r="AC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c r="AB693" s="19"/>
      <c r="AC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c r="AB694" s="19"/>
      <c r="AC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c r="AC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c r="AB696" s="19"/>
      <c r="AC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c r="AB697" s="19"/>
      <c r="AC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c r="AB698" s="19"/>
      <c r="AC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c r="AB699" s="19"/>
      <c r="AC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c r="AB700" s="19"/>
      <c r="AC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c r="AB701" s="19"/>
      <c r="AC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c r="AB702" s="19"/>
      <c r="AC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c r="AB703" s="19"/>
      <c r="AC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c r="AB704" s="19"/>
      <c r="AC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c r="AB705" s="19"/>
      <c r="AC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c r="AB706" s="19"/>
      <c r="AC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c r="AB708" s="19"/>
      <c r="AC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c r="AB709" s="19"/>
      <c r="AC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c r="AB710" s="19"/>
      <c r="AC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c r="AB712" s="19"/>
      <c r="AC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c r="AB713" s="19"/>
      <c r="AC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c r="AB714" s="19"/>
      <c r="AC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c r="AB716" s="19"/>
      <c r="AC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c r="AC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c r="AB718" s="19"/>
      <c r="AC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c r="AB719" s="19"/>
      <c r="AC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c r="AB720" s="19"/>
      <c r="AC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c r="AB721" s="19"/>
      <c r="AC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c r="AB722" s="19"/>
      <c r="AC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c r="AB724" s="19"/>
      <c r="AC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c r="AB725" s="19"/>
      <c r="AC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c r="AB726" s="19"/>
      <c r="AC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c r="AB727" s="19"/>
      <c r="AC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c r="AB728" s="19"/>
      <c r="AC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c r="AB729" s="19"/>
      <c r="AC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c r="AB730" s="19"/>
      <c r="AC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c r="AB731" s="19"/>
      <c r="AC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c r="AB733" s="19"/>
      <c r="AC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c r="AC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c r="AB735" s="19"/>
      <c r="AC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c r="AB736" s="19"/>
      <c r="AC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c r="AB737" s="19"/>
      <c r="AC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c r="AB738" s="19"/>
      <c r="AC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c r="AB740" s="19"/>
      <c r="AC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c r="AB741" s="19"/>
      <c r="AC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c r="AB742" s="19"/>
      <c r="AC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c r="AC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c r="AB744" s="19"/>
      <c r="AC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c r="AB745" s="19"/>
      <c r="AC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c r="AB746" s="19"/>
      <c r="AC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c r="AB747" s="19"/>
      <c r="AC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c r="AB748" s="19"/>
      <c r="AC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c r="AB749" s="19"/>
      <c r="AC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c r="AB751" s="19"/>
      <c r="AC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c r="AB752" s="19"/>
      <c r="AC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c r="AB753" s="19"/>
      <c r="AC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c r="AB754" s="19"/>
      <c r="AC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c r="AB756" s="19"/>
      <c r="AC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c r="AB757" s="19"/>
      <c r="AC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c r="AB758" s="19"/>
      <c r="AC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c r="AB760" s="19"/>
      <c r="AC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c r="AB761" s="19"/>
      <c r="AC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c r="AB762" s="19"/>
      <c r="AC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c r="AB764" s="19"/>
      <c r="AC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c r="AB765" s="19"/>
      <c r="AC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c r="AB767" s="19"/>
      <c r="AC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c r="AB768" s="19"/>
      <c r="AC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c r="AB770" s="19"/>
      <c r="AC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c r="AB771" s="19"/>
      <c r="AC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c r="AB772" s="19"/>
      <c r="AC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c r="AB773" s="19"/>
      <c r="AC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c r="AC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c r="AB775" s="19"/>
      <c r="AC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c r="AB777" s="19"/>
      <c r="AC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c r="AB778" s="19"/>
      <c r="AC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c r="AB779" s="19"/>
      <c r="AC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c r="AB781" s="19"/>
      <c r="AC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c r="AB782" s="19"/>
      <c r="AC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c r="AB783" s="19"/>
      <c r="AC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c r="AB784" s="19"/>
      <c r="AC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c r="AB785" s="19"/>
      <c r="AC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c r="AB786" s="19"/>
      <c r="AC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c r="AB787" s="19"/>
      <c r="AC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c r="AB788" s="19"/>
      <c r="AC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c r="AB789" s="19"/>
      <c r="AC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c r="AB790" s="19"/>
      <c r="AC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c r="AB791" s="19"/>
      <c r="AC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c r="AB793" s="19"/>
      <c r="AC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c r="AC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c r="AB795" s="19"/>
      <c r="AC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c r="AB796" s="19"/>
      <c r="AC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c r="AB797" s="19"/>
      <c r="AC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c r="AB798" s="19"/>
      <c r="AC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c r="AB799" s="19"/>
      <c r="AC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c r="AB800" s="19"/>
      <c r="AC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c r="AB801" s="19"/>
      <c r="AC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c r="AB802" s="19"/>
      <c r="AC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c r="AC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c r="AB804" s="19"/>
      <c r="AC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c r="AB805" s="19"/>
      <c r="AC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c r="AB806" s="19"/>
      <c r="AC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c r="AB807" s="19"/>
      <c r="AC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c r="AB808" s="19"/>
      <c r="AC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c r="AB809" s="19"/>
      <c r="AC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c r="AB810" s="19"/>
      <c r="AC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c r="AB811" s="19"/>
      <c r="AC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c r="AC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c r="AB813" s="19"/>
      <c r="AC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c r="AB814" s="19"/>
      <c r="AC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c r="AB815" s="19"/>
      <c r="AC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c r="AB816" s="19"/>
      <c r="AC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c r="AB817" s="19"/>
      <c r="AC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c r="AC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c r="AB819" s="19"/>
      <c r="AC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c r="AB820" s="19"/>
      <c r="AC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c r="AB821" s="19"/>
      <c r="AC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c r="AB822" s="19"/>
      <c r="AC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c r="AB823" s="19"/>
      <c r="AC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c r="AB824" s="19"/>
      <c r="AC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c r="AB825" s="19"/>
      <c r="AC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c r="AB826" s="19"/>
      <c r="AC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c r="AB827" s="19"/>
      <c r="AC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c r="AB829" s="19"/>
      <c r="AC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c r="AB830" s="19"/>
      <c r="AC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c r="AB831" s="19"/>
      <c r="AC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c r="AB832" s="19"/>
      <c r="AC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c r="AB833" s="19"/>
      <c r="AC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c r="AC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c r="AB835" s="19"/>
      <c r="AC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c r="AB836" s="19"/>
      <c r="AC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c r="AB837" s="19"/>
      <c r="AC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c r="AB838" s="19"/>
      <c r="AC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c r="AB839" s="19"/>
      <c r="AC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c r="AB840" s="19"/>
      <c r="AC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c r="AB841" s="19"/>
      <c r="AC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c r="AC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c r="AB843" s="19"/>
      <c r="AC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c r="AB844" s="19"/>
      <c r="AC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c r="AB845" s="19"/>
      <c r="AC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c r="AB846" s="19"/>
      <c r="AC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c r="AB847" s="19"/>
      <c r="AC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c r="AB848" s="19"/>
      <c r="AC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c r="AB849" s="19"/>
      <c r="AC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c r="AC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c r="AB851" s="19"/>
      <c r="AC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c r="AB852" s="19"/>
      <c r="AC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c r="AB853" s="19"/>
      <c r="AC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c r="AB854" s="19"/>
      <c r="AC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c r="AB855" s="19"/>
      <c r="AC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c r="AB856" s="19"/>
      <c r="AC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c r="AB857" s="19"/>
      <c r="AC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c r="AB858" s="19"/>
      <c r="AC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c r="AB859" s="19"/>
      <c r="AC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c r="AC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c r="AB861" s="19"/>
      <c r="AC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c r="AB862" s="19"/>
      <c r="AC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c r="AB864" s="19"/>
      <c r="AC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c r="AB865" s="19"/>
      <c r="AC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c r="AB866" s="19"/>
      <c r="AC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c r="AB867" s="19"/>
      <c r="AC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c r="AB868" s="19"/>
      <c r="AC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c r="AB869" s="19"/>
      <c r="AC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c r="AB870" s="19"/>
      <c r="AC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c r="AB872" s="19"/>
      <c r="AC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c r="AB873" s="19"/>
      <c r="AC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c r="AC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c r="AB875" s="19"/>
      <c r="AC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c r="AB876" s="19"/>
      <c r="AC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c r="AB877" s="19"/>
      <c r="AC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c r="AB878" s="19"/>
      <c r="AC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c r="AB880" s="19"/>
      <c r="AC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c r="AB881" s="19"/>
      <c r="AC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c r="AB882" s="19"/>
      <c r="AC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c r="AB883" s="19"/>
      <c r="AC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c r="AB884" s="19"/>
      <c r="AC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c r="AC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c r="AB887" s="19"/>
      <c r="AC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c r="AB889" s="19"/>
      <c r="AC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c r="AC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c r="AB891" s="19"/>
      <c r="AC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c r="AB893" s="19"/>
      <c r="AC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c r="AB894" s="19"/>
      <c r="AC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c r="AB896" s="19"/>
      <c r="AC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c r="AB897" s="19"/>
      <c r="AC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c r="AB898" s="19"/>
      <c r="AC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c r="AB899" s="19"/>
      <c r="AC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c r="AB900" s="19"/>
      <c r="AC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c r="AB901" s="19"/>
      <c r="AC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c r="AB902" s="19"/>
      <c r="AC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c r="AB903" s="19"/>
      <c r="AC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c r="AB904" s="19"/>
      <c r="AC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c r="AB905" s="19"/>
      <c r="AC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c r="AB907" s="19"/>
      <c r="AC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c r="AC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c r="AB909" s="19"/>
      <c r="AC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c r="AB910" s="19"/>
      <c r="AC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c r="AB912" s="19"/>
      <c r="AC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c r="AB913" s="19"/>
      <c r="AC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c r="AC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c r="AB916" s="19"/>
      <c r="AC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c r="AB917" s="19"/>
      <c r="AC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c r="AB918" s="19"/>
      <c r="AC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c r="AB920" s="19"/>
      <c r="AC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c r="AB921" s="19"/>
      <c r="AC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c r="AB923" s="19"/>
      <c r="AC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c r="AC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c r="AB926" s="19"/>
      <c r="AC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c r="AB927" s="19"/>
      <c r="AC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c r="AB928" s="19"/>
      <c r="AC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c r="AB929" s="19"/>
      <c r="AC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c r="AB930" s="19"/>
      <c r="AC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c r="AB931" s="19"/>
      <c r="AC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c r="AB933" s="19"/>
      <c r="AC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c r="AB934" s="19"/>
      <c r="AC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c r="AB935" s="19"/>
      <c r="AC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c r="AB937" s="19"/>
      <c r="AC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c r="AB938" s="19"/>
      <c r="AC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c r="AB939" s="19"/>
      <c r="AC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c r="AB940" s="19"/>
      <c r="AC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c r="AB941" s="19"/>
      <c r="AC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c r="AB942" s="19"/>
      <c r="AC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c r="AB943" s="19"/>
      <c r="AC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c r="AB944" s="19"/>
      <c r="AC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c r="AC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c r="AB946" s="19"/>
      <c r="AC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c r="AB947" s="19"/>
      <c r="AC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c r="AB948" s="19"/>
      <c r="AC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c r="AB949" s="19"/>
      <c r="AC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c r="AB950" s="19"/>
      <c r="AC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c r="AB951" s="19"/>
      <c r="AC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c r="AB952" s="19"/>
      <c r="AC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c r="AC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c r="AB954" s="19"/>
      <c r="AC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c r="AB955" s="19"/>
      <c r="AC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c r="AB956" s="19"/>
      <c r="AC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c r="AB957" s="19"/>
      <c r="AC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c r="AB958" s="19"/>
      <c r="AC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c r="AB959" s="19"/>
      <c r="AC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c r="AB960" s="19"/>
      <c r="AC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c r="AB961" s="19"/>
      <c r="AC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c r="AC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c r="AB963" s="19"/>
      <c r="AC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c r="AB964" s="19"/>
      <c r="AC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c r="AB965" s="19"/>
      <c r="AC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c r="AB966" s="19"/>
      <c r="AC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c r="AB967" s="19"/>
      <c r="AC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c r="AB968" s="19"/>
      <c r="AC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c r="AB969" s="19"/>
      <c r="AC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c r="AB970" s="19"/>
      <c r="AC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c r="AB971" s="19"/>
      <c r="AC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c r="AB972" s="19"/>
      <c r="AC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c r="AB973" s="19"/>
      <c r="AC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c r="AB974" s="19"/>
      <c r="AC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c r="AB975" s="19"/>
      <c r="AC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c r="AB976" s="19"/>
      <c r="AC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c r="AB977" s="19"/>
      <c r="AC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c r="AB978" s="19"/>
      <c r="AC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c r="AB979" s="19"/>
      <c r="AC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c r="AB980" s="19"/>
      <c r="AC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c r="AC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c r="AB982" s="19"/>
      <c r="AC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c r="AB983" s="19"/>
      <c r="AC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c r="AB985" s="19"/>
      <c r="AC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c r="AB986" s="19"/>
      <c r="AC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c r="AB987" s="19"/>
      <c r="AC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c r="AB988" s="19"/>
      <c r="AC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c r="AB989" s="19"/>
      <c r="AC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c r="AB990" s="19"/>
      <c r="AC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c r="AB991" s="19"/>
      <c r="AC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c r="AC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c r="AB993" s="19"/>
      <c r="AC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c r="AB994" s="19"/>
      <c r="AC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c r="AB995" s="19"/>
      <c r="AC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c r="AC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c r="AB997" s="19"/>
      <c r="AC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c r="AB998" s="19"/>
      <c r="AC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c r="AB999" s="19"/>
      <c r="AC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c r="AB1000" s="19"/>
      <c r="AC1000" s="19"/>
    </row>
    <row r="1001">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c r="AB1001" s="19"/>
      <c r="AC1001" s="19"/>
    </row>
  </sheetData>
  <mergeCells count="15">
    <mergeCell ref="B21:B22"/>
    <mergeCell ref="C21:C22"/>
    <mergeCell ref="A79:A80"/>
    <mergeCell ref="B79:B80"/>
    <mergeCell ref="C79:C80"/>
    <mergeCell ref="A187:A188"/>
    <mergeCell ref="B187:B188"/>
    <mergeCell ref="C187:C188"/>
    <mergeCell ref="A8:A9"/>
    <mergeCell ref="B8:B9"/>
    <mergeCell ref="C8:C9"/>
    <mergeCell ref="A12:A13"/>
    <mergeCell ref="B12:B13"/>
    <mergeCell ref="C12:C13"/>
    <mergeCell ref="A21:A22"/>
  </mergeCells>
  <drawing r:id="rId1"/>
</worksheet>
</file>